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dyalfonso-torrens/Documents/Research/2025_MMN/Schizophrenia_Research/10_2025_Second_re-submission/Analyses_09_29/"/>
    </mc:Choice>
  </mc:AlternateContent>
  <xr:revisionPtr revIDLastSave="0" documentId="13_ncr:1_{EC34ED14-8DB7-714E-876C-1C96CEF09908}" xr6:coauthVersionLast="47" xr6:coauthVersionMax="47" xr10:uidLastSave="{00000000-0000-0000-0000-000000000000}"/>
  <bookViews>
    <workbookView xWindow="0" yWindow="1000" windowWidth="28040" windowHeight="17440" xr2:uid="{A3C890ED-C9A3-CC4A-AA42-4E887EE5851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4" i="2" l="1"/>
  <c r="Q55" i="2"/>
  <c r="Q56" i="2"/>
  <c r="Q57" i="2"/>
  <c r="Q58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" i="2"/>
  <c r="Q2" i="2"/>
  <c r="R57" i="2"/>
  <c r="R58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3" i="2"/>
  <c r="R2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3" i="2"/>
  <c r="O2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" i="2"/>
  <c r="P4" i="2"/>
  <c r="P5" i="2"/>
  <c r="P6" i="2"/>
  <c r="P7" i="2"/>
  <c r="P8" i="2"/>
  <c r="P9" i="2"/>
  <c r="P10" i="2"/>
  <c r="P11" i="2"/>
  <c r="P2" i="2"/>
</calcChain>
</file>

<file path=xl/sharedStrings.xml><?xml version="1.0" encoding="utf-8"?>
<sst xmlns="http://schemas.openxmlformats.org/spreadsheetml/2006/main" count="160" uniqueCount="52">
  <si>
    <t>ID</t>
  </si>
  <si>
    <t>Group</t>
  </si>
  <si>
    <t>RT_mean</t>
  </si>
  <si>
    <t>Raven_Score</t>
  </si>
  <si>
    <t>Raven_Time</t>
  </si>
  <si>
    <t>GPA</t>
  </si>
  <si>
    <t>Total_Score</t>
  </si>
  <si>
    <t>Cognitive_Perceptual</t>
  </si>
  <si>
    <t>Interpersonal</t>
  </si>
  <si>
    <t>Disorganized</t>
  </si>
  <si>
    <t>Disorganized_Split</t>
  </si>
  <si>
    <t>Social_Anxiety</t>
  </si>
  <si>
    <t>Ideas_of_reference</t>
  </si>
  <si>
    <t>Suspiciousness</t>
  </si>
  <si>
    <t>No_close_friends</t>
  </si>
  <si>
    <t>Constricted_affect</t>
  </si>
  <si>
    <t>Eccentric_thinking</t>
  </si>
  <si>
    <t>Magical_Thinking</t>
  </si>
  <si>
    <t>Odd_speech</t>
  </si>
  <si>
    <t>Unusual_perceptions</t>
  </si>
  <si>
    <t>Epochs_kept</t>
  </si>
  <si>
    <t>1CR</t>
  </si>
  <si>
    <t>control</t>
  </si>
  <si>
    <t>Median</t>
  </si>
  <si>
    <t>3SF</t>
  </si>
  <si>
    <t>High</t>
  </si>
  <si>
    <t>4LT</t>
  </si>
  <si>
    <t>Low</t>
  </si>
  <si>
    <t>5EP</t>
  </si>
  <si>
    <t>6LG</t>
  </si>
  <si>
    <t>10BP</t>
  </si>
  <si>
    <t>No</t>
  </si>
  <si>
    <t>7KL</t>
  </si>
  <si>
    <t>high</t>
  </si>
  <si>
    <t>N1_Fz_Dev_Latency</t>
  </si>
  <si>
    <t>N1_Fz_Dev_Amplitude</t>
  </si>
  <si>
    <t>N1_Cz_Dev_Latency</t>
  </si>
  <si>
    <t>N1_Cz_Dev_Amplitude</t>
  </si>
  <si>
    <t>N1_Fz_Std_Latency</t>
  </si>
  <si>
    <t>N1_Fz_Std_Amplitude</t>
  </si>
  <si>
    <t>N1_Cz_Std_Latency</t>
  </si>
  <si>
    <t>N1_Cz_Std_Amplitude</t>
  </si>
  <si>
    <t>MMN_Fz_Latency</t>
  </si>
  <si>
    <t>MMN_Fz_Amplitude</t>
  </si>
  <si>
    <t>MMN_Cz_Latency</t>
  </si>
  <si>
    <t>MMN_Cz_Amplitude</t>
  </si>
  <si>
    <t>N1_M_Std_Amplitude</t>
  </si>
  <si>
    <t>N1_M_Std_Latency</t>
  </si>
  <si>
    <t>MMN_M_Latency</t>
  </si>
  <si>
    <t>MMN_M_Amplitude</t>
  </si>
  <si>
    <t>N1_M_Dev_Latency</t>
  </si>
  <si>
    <t>N1_M_Dev_Amplitude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</si>
</sst>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AE85-2196-1641-A9F0-4AB2B2C814BA}">
  <dimension ref="A1:AM58"/>
  <sheetViews>
    <sheetView tabSelected="1" topLeftCell="H1" workbookViewId="0">
      <selection activeCell="R63" sqref="R63"/>
    </sheetView>
  </sheetViews>
  <sheetFormatPr baseColWidth="10" defaultRowHeight="16" x14ac:dyDescent="0.2"/>
  <cols>
    <col min="7" max="7" width="11.33203125" customWidth="1"/>
    <col min="8" max="10" width="12" customWidth="1"/>
  </cols>
  <sheetData>
    <row r="1" spans="1:39" x14ac:dyDescent="0.2">
      <c r="A1" t="s">
        <v>0</v>
      </c>
      <c r="B1" t="s">
        <v>1</v>
      </c>
      <c r="C1" t="s">
        <v>38</v>
      </c>
      <c r="D1" t="s">
        <v>39</v>
      </c>
      <c r="E1" t="s">
        <v>40</v>
      </c>
      <c r="F1" t="s">
        <v>41</v>
      </c>
      <c r="G1" t="s">
        <v>34</v>
      </c>
      <c r="H1" t="s">
        <v>35</v>
      </c>
      <c r="I1" t="s">
        <v>36</v>
      </c>
      <c r="J1" t="s">
        <v>37</v>
      </c>
      <c r="K1" t="s">
        <v>42</v>
      </c>
      <c r="L1" t="s">
        <v>43</v>
      </c>
      <c r="M1" t="s">
        <v>44</v>
      </c>
      <c r="N1" t="s">
        <v>45</v>
      </c>
      <c r="O1" t="s">
        <v>47</v>
      </c>
      <c r="P1" t="s">
        <v>46</v>
      </c>
      <c r="Q1" t="s">
        <v>50</v>
      </c>
      <c r="R1" t="s">
        <v>51</v>
      </c>
      <c r="S1" t="s">
        <v>48</v>
      </c>
      <c r="T1" s="1" t="s">
        <v>49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  <c r="AL1" t="s">
        <v>19</v>
      </c>
      <c r="AM1" t="s">
        <v>20</v>
      </c>
    </row>
    <row r="2" spans="1:39" x14ac:dyDescent="0.2">
      <c r="A2" t="s">
        <v>21</v>
      </c>
      <c r="B2" t="s">
        <v>22</v>
      </c>
      <c r="C2">
        <v>119.140625</v>
      </c>
      <c r="D2">
        <v>-2.2363566320000001</v>
      </c>
      <c r="E2">
        <v>119.140625</v>
      </c>
      <c r="F2">
        <v>-0.87133746400000001</v>
      </c>
      <c r="G2">
        <v>117.1875</v>
      </c>
      <c r="H2">
        <v>-1.5435933079999999</v>
      </c>
      <c r="I2">
        <v>119.140625</v>
      </c>
      <c r="J2">
        <v>-1.751918047</v>
      </c>
      <c r="K2">
        <v>158.203125</v>
      </c>
      <c r="L2">
        <v>-2.6784259366335998</v>
      </c>
      <c r="M2">
        <v>193.359375</v>
      </c>
      <c r="N2">
        <v>-2.5482838076876999</v>
      </c>
      <c r="O2">
        <f>AVERAGE(C2,E2)</f>
        <v>119.140625</v>
      </c>
      <c r="P2">
        <f>AVERAGE(D2,F2)</f>
        <v>-1.5538470480000002</v>
      </c>
      <c r="Q2">
        <f>AVERAGE(G2,I2)</f>
        <v>118.1640625</v>
      </c>
      <c r="R2">
        <f>AVERAGE(H2,J2)</f>
        <v>-1.6477556775</v>
      </c>
      <c r="S2">
        <f>AVERAGE(K2,M2)</f>
        <v>175.78125</v>
      </c>
      <c r="T2">
        <f>AVERAGE(L2,N2)</f>
        <v>-2.6133548721606497</v>
      </c>
      <c r="U2">
        <v>0.39814653799999999</v>
      </c>
      <c r="V2">
        <v>38</v>
      </c>
      <c r="W2">
        <v>45</v>
      </c>
      <c r="X2">
        <v>3.4</v>
      </c>
      <c r="Y2">
        <v>56</v>
      </c>
      <c r="Z2">
        <v>22</v>
      </c>
      <c r="AA2">
        <v>12</v>
      </c>
      <c r="AB2">
        <v>22</v>
      </c>
      <c r="AC2" t="s">
        <v>23</v>
      </c>
      <c r="AD2">
        <v>8</v>
      </c>
      <c r="AE2">
        <v>5</v>
      </c>
      <c r="AF2">
        <v>4</v>
      </c>
      <c r="AG2">
        <v>1</v>
      </c>
      <c r="AH2">
        <v>3</v>
      </c>
      <c r="AI2">
        <v>10</v>
      </c>
      <c r="AJ2">
        <v>8</v>
      </c>
      <c r="AK2">
        <v>12</v>
      </c>
      <c r="AL2">
        <v>5</v>
      </c>
      <c r="AM2" s="2">
        <v>98.1</v>
      </c>
    </row>
    <row r="3" spans="1:39" x14ac:dyDescent="0.2">
      <c r="A3" t="s">
        <v>24</v>
      </c>
      <c r="B3" t="s">
        <v>22</v>
      </c>
      <c r="C3">
        <v>125</v>
      </c>
      <c r="D3">
        <v>0.364425956</v>
      </c>
      <c r="E3">
        <v>109.375</v>
      </c>
      <c r="F3">
        <v>0.25030107899999998</v>
      </c>
      <c r="G3">
        <v>97.65625</v>
      </c>
      <c r="H3">
        <v>2.010420866</v>
      </c>
      <c r="I3">
        <v>99.609375</v>
      </c>
      <c r="J3">
        <v>1.908370262</v>
      </c>
      <c r="K3">
        <v>162.109375</v>
      </c>
      <c r="L3">
        <v>-1.8505602417979401</v>
      </c>
      <c r="M3">
        <v>162.109375</v>
      </c>
      <c r="N3">
        <v>-2.0995843058182202</v>
      </c>
      <c r="O3">
        <f>AVERAGE(C3,E3)</f>
        <v>117.1875</v>
      </c>
      <c r="P3">
        <f t="shared" ref="P3:P58" si="0">AVERAGE(D3,F3)</f>
        <v>0.30736351750000002</v>
      </c>
      <c r="Q3">
        <f>AVERAGE(G3,I3)</f>
        <v>98.6328125</v>
      </c>
      <c r="R3">
        <f>AVERAGE(H3,J3)</f>
        <v>1.959395564</v>
      </c>
      <c r="S3">
        <f t="shared" ref="S3:S58" si="1">AVERAGE(K3,M3)</f>
        <v>162.109375</v>
      </c>
      <c r="T3">
        <f t="shared" ref="T3:T58" si="2">AVERAGE(L3,N3)</f>
        <v>-1.9750722738080801</v>
      </c>
      <c r="U3">
        <v>0.47991576899999999</v>
      </c>
      <c r="V3">
        <v>51</v>
      </c>
      <c r="W3">
        <v>20</v>
      </c>
      <c r="X3">
        <v>3.49</v>
      </c>
      <c r="Y3">
        <v>56</v>
      </c>
      <c r="Z3">
        <v>18</v>
      </c>
      <c r="AA3">
        <v>8</v>
      </c>
      <c r="AB3">
        <v>30</v>
      </c>
      <c r="AC3" t="s">
        <v>25</v>
      </c>
      <c r="AD3">
        <v>6</v>
      </c>
      <c r="AE3">
        <v>8</v>
      </c>
      <c r="AF3">
        <v>4</v>
      </c>
      <c r="AG3">
        <v>1</v>
      </c>
      <c r="AH3">
        <v>1</v>
      </c>
      <c r="AI3">
        <v>14</v>
      </c>
      <c r="AJ3">
        <v>2</v>
      </c>
      <c r="AK3">
        <v>16</v>
      </c>
      <c r="AL3">
        <v>4</v>
      </c>
      <c r="AM3" s="2">
        <v>100</v>
      </c>
    </row>
    <row r="4" spans="1:39" x14ac:dyDescent="0.2">
      <c r="A4" t="s">
        <v>26</v>
      </c>
      <c r="B4" t="s">
        <v>22</v>
      </c>
      <c r="C4">
        <v>136.71875</v>
      </c>
      <c r="D4">
        <v>-2.2876985489999999</v>
      </c>
      <c r="E4">
        <v>132.8125</v>
      </c>
      <c r="F4">
        <v>-2.2306876679999998</v>
      </c>
      <c r="G4">
        <v>138.671875</v>
      </c>
      <c r="H4">
        <v>-2.6104580190000002</v>
      </c>
      <c r="I4">
        <v>138.671875</v>
      </c>
      <c r="J4">
        <v>-1.8135124030000001</v>
      </c>
      <c r="K4">
        <v>152.34375</v>
      </c>
      <c r="L4">
        <v>-2.9580542819768798</v>
      </c>
      <c r="M4">
        <v>154.296875</v>
      </c>
      <c r="N4">
        <v>-1.37721047240818</v>
      </c>
      <c r="O4">
        <f t="shared" ref="O4:O40" si="3">AVERAGE(C4,E4)</f>
        <v>134.765625</v>
      </c>
      <c r="P4">
        <f t="shared" si="0"/>
        <v>-2.2591931084999999</v>
      </c>
      <c r="Q4">
        <f t="shared" ref="Q4:Q31" si="4">AVERAGE(G4,I4)</f>
        <v>138.671875</v>
      </c>
      <c r="R4">
        <f t="shared" ref="R4:R23" si="5">AVERAGE(H4,J4)</f>
        <v>-2.211985211</v>
      </c>
      <c r="S4">
        <f t="shared" si="1"/>
        <v>153.3203125</v>
      </c>
      <c r="T4">
        <f t="shared" si="2"/>
        <v>-2.1676323771925299</v>
      </c>
      <c r="U4">
        <v>0.38455583300000001</v>
      </c>
      <c r="V4">
        <v>53</v>
      </c>
      <c r="W4">
        <v>20</v>
      </c>
      <c r="X4">
        <v>3.5</v>
      </c>
      <c r="Y4">
        <v>59</v>
      </c>
      <c r="Z4">
        <v>28</v>
      </c>
      <c r="AA4">
        <v>18</v>
      </c>
      <c r="AB4">
        <v>13</v>
      </c>
      <c r="AC4" t="s">
        <v>27</v>
      </c>
      <c r="AD4">
        <v>8</v>
      </c>
      <c r="AE4">
        <v>9</v>
      </c>
      <c r="AF4">
        <v>8</v>
      </c>
      <c r="AG4">
        <v>5</v>
      </c>
      <c r="AH4">
        <v>5</v>
      </c>
      <c r="AI4">
        <v>5</v>
      </c>
      <c r="AJ4">
        <v>5</v>
      </c>
      <c r="AK4">
        <v>8</v>
      </c>
      <c r="AL4">
        <v>6</v>
      </c>
      <c r="AM4" s="2">
        <v>99.8</v>
      </c>
    </row>
    <row r="5" spans="1:39" x14ac:dyDescent="0.2">
      <c r="A5" t="s">
        <v>28</v>
      </c>
      <c r="B5" t="s">
        <v>22</v>
      </c>
      <c r="C5">
        <v>117.1875</v>
      </c>
      <c r="D5">
        <v>-4.0695647590000004</v>
      </c>
      <c r="E5">
        <v>97.65625</v>
      </c>
      <c r="F5">
        <v>-3.3204506070000002</v>
      </c>
      <c r="G5">
        <v>119.140625</v>
      </c>
      <c r="H5">
        <v>-5.9525845989999997</v>
      </c>
      <c r="I5">
        <v>117.1875</v>
      </c>
      <c r="J5">
        <v>-5.1193868230000001</v>
      </c>
      <c r="K5">
        <v>183.59375</v>
      </c>
      <c r="L5">
        <v>-1.9421521605571299</v>
      </c>
      <c r="M5">
        <v>167.96875</v>
      </c>
      <c r="N5">
        <v>-1.8219608983428299</v>
      </c>
      <c r="O5">
        <f t="shared" si="3"/>
        <v>107.421875</v>
      </c>
      <c r="P5">
        <f t="shared" si="0"/>
        <v>-3.695007683</v>
      </c>
      <c r="Q5">
        <f t="shared" si="4"/>
        <v>118.1640625</v>
      </c>
      <c r="R5">
        <f t="shared" si="5"/>
        <v>-5.5359857110000004</v>
      </c>
      <c r="S5">
        <f t="shared" si="1"/>
        <v>175.78125</v>
      </c>
      <c r="T5">
        <f t="shared" si="2"/>
        <v>-1.8820565294499798</v>
      </c>
      <c r="U5">
        <v>0.35885045500000001</v>
      </c>
      <c r="V5">
        <v>46</v>
      </c>
      <c r="W5">
        <v>30</v>
      </c>
      <c r="X5">
        <v>3.84</v>
      </c>
      <c r="Y5">
        <v>59</v>
      </c>
      <c r="Z5">
        <v>21</v>
      </c>
      <c r="AA5">
        <v>19</v>
      </c>
      <c r="AB5">
        <v>19</v>
      </c>
      <c r="AC5" t="s">
        <v>27</v>
      </c>
      <c r="AD5">
        <v>7</v>
      </c>
      <c r="AE5">
        <v>8</v>
      </c>
      <c r="AF5">
        <v>5</v>
      </c>
      <c r="AG5">
        <v>7</v>
      </c>
      <c r="AH5">
        <v>5</v>
      </c>
      <c r="AI5">
        <v>7</v>
      </c>
      <c r="AJ5">
        <v>2</v>
      </c>
      <c r="AK5">
        <v>12</v>
      </c>
      <c r="AL5">
        <v>6</v>
      </c>
      <c r="AM5" s="2">
        <v>99.8</v>
      </c>
    </row>
    <row r="6" spans="1:39" x14ac:dyDescent="0.2">
      <c r="A6" t="s">
        <v>29</v>
      </c>
      <c r="B6" t="s">
        <v>22</v>
      </c>
      <c r="C6">
        <v>138.671875</v>
      </c>
      <c r="D6">
        <v>-0.94969834600000003</v>
      </c>
      <c r="E6">
        <v>126.953125</v>
      </c>
      <c r="F6">
        <v>-1.403020806</v>
      </c>
      <c r="G6">
        <v>128.90625</v>
      </c>
      <c r="H6">
        <v>-3.8667845949999999</v>
      </c>
      <c r="I6">
        <v>130.859375</v>
      </c>
      <c r="J6">
        <v>-4.9183255150000003</v>
      </c>
      <c r="K6">
        <v>208.984375</v>
      </c>
      <c r="L6">
        <v>-3.0590188407682599</v>
      </c>
      <c r="M6">
        <v>210.9375</v>
      </c>
      <c r="N6">
        <v>-2.8565182929072201</v>
      </c>
      <c r="O6">
        <f t="shared" si="3"/>
        <v>132.8125</v>
      </c>
      <c r="P6">
        <f t="shared" si="0"/>
        <v>-1.1763595760000001</v>
      </c>
      <c r="Q6">
        <f t="shared" si="4"/>
        <v>129.8828125</v>
      </c>
      <c r="R6">
        <f t="shared" si="5"/>
        <v>-4.3925550549999999</v>
      </c>
      <c r="S6">
        <f t="shared" si="1"/>
        <v>209.9609375</v>
      </c>
      <c r="T6">
        <f t="shared" si="2"/>
        <v>-2.95776856683774</v>
      </c>
      <c r="U6">
        <v>0.39433583300000002</v>
      </c>
      <c r="V6">
        <v>52</v>
      </c>
      <c r="W6">
        <v>35</v>
      </c>
      <c r="X6">
        <v>3.5</v>
      </c>
      <c r="Y6">
        <v>52</v>
      </c>
      <c r="Z6">
        <v>22</v>
      </c>
      <c r="AA6">
        <v>14</v>
      </c>
      <c r="AB6">
        <v>16</v>
      </c>
      <c r="AC6" t="s">
        <v>27</v>
      </c>
      <c r="AD6">
        <v>7</v>
      </c>
      <c r="AE6">
        <v>9</v>
      </c>
      <c r="AF6">
        <v>8</v>
      </c>
      <c r="AG6">
        <v>3</v>
      </c>
      <c r="AH6">
        <v>4</v>
      </c>
      <c r="AI6">
        <v>4</v>
      </c>
      <c r="AJ6">
        <v>0</v>
      </c>
      <c r="AK6">
        <v>12</v>
      </c>
      <c r="AL6">
        <v>5</v>
      </c>
      <c r="AM6" s="2">
        <v>98.2</v>
      </c>
    </row>
    <row r="7" spans="1:39" x14ac:dyDescent="0.2">
      <c r="A7" t="s">
        <v>30</v>
      </c>
      <c r="B7" t="s">
        <v>22</v>
      </c>
      <c r="C7">
        <v>101.5625</v>
      </c>
      <c r="D7">
        <v>-4.055138565</v>
      </c>
      <c r="E7">
        <v>99.609375</v>
      </c>
      <c r="F7">
        <v>-4.0962571560000001</v>
      </c>
      <c r="G7">
        <v>113.28125</v>
      </c>
      <c r="H7">
        <v>-5.7558844149999997</v>
      </c>
      <c r="I7">
        <v>113.28125</v>
      </c>
      <c r="J7">
        <v>-3.7072495679999999</v>
      </c>
      <c r="K7">
        <v>150.390625</v>
      </c>
      <c r="L7">
        <v>-3.1233367287717502</v>
      </c>
      <c r="M7">
        <v>242.1875</v>
      </c>
      <c r="N7">
        <v>-1.59253460262029</v>
      </c>
      <c r="O7">
        <f t="shared" si="3"/>
        <v>100.5859375</v>
      </c>
      <c r="P7">
        <f t="shared" si="0"/>
        <v>-4.0756978605</v>
      </c>
      <c r="Q7">
        <f t="shared" si="4"/>
        <v>113.28125</v>
      </c>
      <c r="R7">
        <f t="shared" si="5"/>
        <v>-4.7315669914999994</v>
      </c>
      <c r="S7">
        <f t="shared" si="1"/>
        <v>196.2890625</v>
      </c>
      <c r="T7">
        <f t="shared" si="2"/>
        <v>-2.35793566569602</v>
      </c>
      <c r="U7">
        <v>0.47519280000000003</v>
      </c>
      <c r="V7">
        <v>49</v>
      </c>
      <c r="W7">
        <v>11</v>
      </c>
      <c r="X7">
        <v>3.5</v>
      </c>
      <c r="Y7">
        <v>58</v>
      </c>
      <c r="Z7">
        <v>23</v>
      </c>
      <c r="AA7">
        <v>18</v>
      </c>
      <c r="AB7">
        <v>17</v>
      </c>
      <c r="AC7" t="s">
        <v>27</v>
      </c>
      <c r="AD7">
        <v>9</v>
      </c>
      <c r="AE7">
        <v>8</v>
      </c>
      <c r="AF7">
        <v>5</v>
      </c>
      <c r="AG7">
        <v>3</v>
      </c>
      <c r="AH7">
        <v>6</v>
      </c>
      <c r="AI7">
        <v>5</v>
      </c>
      <c r="AJ7">
        <v>4</v>
      </c>
      <c r="AK7">
        <v>12</v>
      </c>
      <c r="AL7">
        <v>6</v>
      </c>
      <c r="AM7" s="2">
        <v>94.7</v>
      </c>
    </row>
    <row r="8" spans="1:39" x14ac:dyDescent="0.2">
      <c r="A8">
        <v>31</v>
      </c>
      <c r="B8" t="s">
        <v>22</v>
      </c>
      <c r="C8">
        <v>123.046875</v>
      </c>
      <c r="D8">
        <v>-3.3063095630000001</v>
      </c>
      <c r="E8">
        <v>119.140625</v>
      </c>
      <c r="F8">
        <v>-3.6526007150000002</v>
      </c>
      <c r="G8">
        <v>130.859375</v>
      </c>
      <c r="H8">
        <v>-3.2053581059999998</v>
      </c>
      <c r="I8">
        <v>128.90625</v>
      </c>
      <c r="J8">
        <v>-2.3657696750000001</v>
      </c>
      <c r="K8">
        <v>193.359375</v>
      </c>
      <c r="L8">
        <v>-4.4102814453196801</v>
      </c>
      <c r="M8">
        <v>193.359375</v>
      </c>
      <c r="N8">
        <v>-3.8329640257769499</v>
      </c>
      <c r="O8">
        <f t="shared" si="3"/>
        <v>121.09375</v>
      </c>
      <c r="P8">
        <f t="shared" si="0"/>
        <v>-3.4794551390000001</v>
      </c>
      <c r="Q8">
        <f t="shared" si="4"/>
        <v>129.8828125</v>
      </c>
      <c r="R8">
        <f t="shared" si="5"/>
        <v>-2.7855638904999998</v>
      </c>
      <c r="S8">
        <f t="shared" si="1"/>
        <v>193.359375</v>
      </c>
      <c r="T8">
        <f t="shared" si="2"/>
        <v>-4.121622735548315</v>
      </c>
      <c r="U8">
        <v>0.4036264</v>
      </c>
      <c r="V8">
        <v>55</v>
      </c>
      <c r="W8">
        <v>23</v>
      </c>
      <c r="X8">
        <v>3.6</v>
      </c>
      <c r="Y8">
        <v>69</v>
      </c>
      <c r="Z8">
        <v>26</v>
      </c>
      <c r="AA8">
        <v>20</v>
      </c>
      <c r="AB8">
        <v>23</v>
      </c>
      <c r="AC8" t="s">
        <v>25</v>
      </c>
      <c r="AD8">
        <v>14</v>
      </c>
      <c r="AE8">
        <v>9</v>
      </c>
      <c r="AF8">
        <v>7</v>
      </c>
      <c r="AG8">
        <v>4</v>
      </c>
      <c r="AH8">
        <v>2</v>
      </c>
      <c r="AI8">
        <v>10</v>
      </c>
      <c r="AJ8">
        <v>2</v>
      </c>
      <c r="AK8">
        <v>13</v>
      </c>
      <c r="AL8">
        <v>8</v>
      </c>
      <c r="AM8" s="2">
        <v>100</v>
      </c>
    </row>
    <row r="9" spans="1:39" x14ac:dyDescent="0.2">
      <c r="A9">
        <v>32</v>
      </c>
      <c r="B9" t="s">
        <v>22</v>
      </c>
      <c r="C9">
        <v>138.671875</v>
      </c>
      <c r="D9">
        <v>-1.092401763</v>
      </c>
      <c r="E9">
        <v>138.671875</v>
      </c>
      <c r="F9">
        <v>-1.2060039140000001</v>
      </c>
      <c r="G9">
        <v>138.671875</v>
      </c>
      <c r="H9">
        <v>-1.3949594380000001</v>
      </c>
      <c r="I9">
        <v>138.671875</v>
      </c>
      <c r="J9">
        <v>-1.471588041</v>
      </c>
      <c r="K9">
        <v>203.125</v>
      </c>
      <c r="L9">
        <v>-2.9873640420424099</v>
      </c>
      <c r="M9">
        <v>205.078125</v>
      </c>
      <c r="N9">
        <v>-3.06750010996792</v>
      </c>
      <c r="O9">
        <f t="shared" si="3"/>
        <v>138.671875</v>
      </c>
      <c r="P9">
        <f t="shared" si="0"/>
        <v>-1.1492028384999999</v>
      </c>
      <c r="Q9">
        <f t="shared" si="4"/>
        <v>138.671875</v>
      </c>
      <c r="R9">
        <f t="shared" si="5"/>
        <v>-1.4332737395000001</v>
      </c>
      <c r="S9">
        <f t="shared" si="1"/>
        <v>204.1015625</v>
      </c>
      <c r="T9">
        <f t="shared" si="2"/>
        <v>-3.027432076005165</v>
      </c>
      <c r="U9">
        <v>0.41584655199999998</v>
      </c>
      <c r="V9">
        <v>52</v>
      </c>
      <c r="W9">
        <v>35</v>
      </c>
      <c r="X9">
        <v>4</v>
      </c>
      <c r="Y9">
        <v>53</v>
      </c>
      <c r="Z9">
        <v>19</v>
      </c>
      <c r="AA9">
        <v>8</v>
      </c>
      <c r="AB9">
        <v>26</v>
      </c>
      <c r="AC9" t="s">
        <v>25</v>
      </c>
      <c r="AD9">
        <v>6</v>
      </c>
      <c r="AE9">
        <v>4</v>
      </c>
      <c r="AF9">
        <v>5</v>
      </c>
      <c r="AG9">
        <v>1</v>
      </c>
      <c r="AH9">
        <v>1</v>
      </c>
      <c r="AI9">
        <v>15</v>
      </c>
      <c r="AJ9">
        <v>0</v>
      </c>
      <c r="AK9">
        <v>11</v>
      </c>
      <c r="AL9">
        <v>10</v>
      </c>
      <c r="AM9" s="2">
        <v>89.2</v>
      </c>
    </row>
    <row r="10" spans="1:39" x14ac:dyDescent="0.2">
      <c r="A10">
        <v>34</v>
      </c>
      <c r="B10" t="s">
        <v>22</v>
      </c>
      <c r="C10">
        <v>97.65625</v>
      </c>
      <c r="D10">
        <v>-7.365872897</v>
      </c>
      <c r="E10">
        <v>97.65625</v>
      </c>
      <c r="F10">
        <v>-7.1818512659999998</v>
      </c>
      <c r="G10">
        <v>99.609375</v>
      </c>
      <c r="H10">
        <v>-9.1307912429999991</v>
      </c>
      <c r="I10">
        <v>99.609375</v>
      </c>
      <c r="J10">
        <v>-8.7811407040000002</v>
      </c>
      <c r="K10">
        <v>242.1875</v>
      </c>
      <c r="L10">
        <v>-4.4955041777757403</v>
      </c>
      <c r="M10">
        <v>224.609375</v>
      </c>
      <c r="N10">
        <v>-4.8446562037168004</v>
      </c>
      <c r="O10">
        <f t="shared" si="3"/>
        <v>97.65625</v>
      </c>
      <c r="P10">
        <f t="shared" si="0"/>
        <v>-7.2738620814999999</v>
      </c>
      <c r="Q10">
        <f t="shared" si="4"/>
        <v>99.609375</v>
      </c>
      <c r="R10">
        <f t="shared" si="5"/>
        <v>-8.9559659734999997</v>
      </c>
      <c r="S10">
        <f t="shared" si="1"/>
        <v>233.3984375</v>
      </c>
      <c r="T10">
        <f t="shared" si="2"/>
        <v>-4.6700801907462708</v>
      </c>
      <c r="U10">
        <v>0.39839217399999999</v>
      </c>
      <c r="V10">
        <v>44</v>
      </c>
      <c r="W10">
        <v>13</v>
      </c>
      <c r="X10">
        <v>2</v>
      </c>
      <c r="Y10">
        <v>70</v>
      </c>
      <c r="Z10">
        <v>21</v>
      </c>
      <c r="AA10">
        <v>27</v>
      </c>
      <c r="AB10">
        <v>22</v>
      </c>
      <c r="AC10" t="s">
        <v>31</v>
      </c>
      <c r="AD10">
        <v>14</v>
      </c>
      <c r="AE10">
        <v>7</v>
      </c>
      <c r="AF10">
        <v>5</v>
      </c>
      <c r="AG10">
        <v>6</v>
      </c>
      <c r="AH10">
        <v>7</v>
      </c>
      <c r="AI10">
        <v>7</v>
      </c>
      <c r="AJ10">
        <v>4</v>
      </c>
      <c r="AK10">
        <v>15</v>
      </c>
      <c r="AL10">
        <v>5</v>
      </c>
      <c r="AM10" s="2">
        <v>94.7</v>
      </c>
    </row>
    <row r="11" spans="1:39" x14ac:dyDescent="0.2">
      <c r="A11">
        <v>35</v>
      </c>
      <c r="B11" t="s">
        <v>22</v>
      </c>
      <c r="C11">
        <v>138.671875</v>
      </c>
      <c r="D11">
        <v>0.18552062899999999</v>
      </c>
      <c r="E11">
        <v>138.671875</v>
      </c>
      <c r="F11">
        <v>0.64262633000000002</v>
      </c>
      <c r="G11">
        <v>138.671875</v>
      </c>
      <c r="H11">
        <v>-0.87606220000000001</v>
      </c>
      <c r="I11">
        <v>138.671875</v>
      </c>
      <c r="J11">
        <v>-1.0019660690000001</v>
      </c>
      <c r="K11">
        <v>191.40625</v>
      </c>
      <c r="L11">
        <v>-5.1220892949576999</v>
      </c>
      <c r="M11">
        <v>187.5</v>
      </c>
      <c r="N11">
        <v>-3.4665112034279399</v>
      </c>
      <c r="O11">
        <f t="shared" si="3"/>
        <v>138.671875</v>
      </c>
      <c r="P11">
        <f t="shared" si="0"/>
        <v>0.41407347950000001</v>
      </c>
      <c r="Q11">
        <f t="shared" si="4"/>
        <v>138.671875</v>
      </c>
      <c r="R11">
        <f t="shared" si="5"/>
        <v>-0.93901413450000004</v>
      </c>
      <c r="S11">
        <f t="shared" si="1"/>
        <v>189.453125</v>
      </c>
      <c r="T11">
        <f t="shared" si="2"/>
        <v>-4.2943002491928199</v>
      </c>
      <c r="U11">
        <v>0.4435944</v>
      </c>
      <c r="V11">
        <v>47</v>
      </c>
      <c r="W11">
        <v>31</v>
      </c>
      <c r="X11">
        <v>3.2</v>
      </c>
      <c r="Y11">
        <v>59</v>
      </c>
      <c r="Z11">
        <v>28</v>
      </c>
      <c r="AA11">
        <v>5</v>
      </c>
      <c r="AB11">
        <v>26</v>
      </c>
      <c r="AC11" t="s">
        <v>25</v>
      </c>
      <c r="AD11">
        <v>5</v>
      </c>
      <c r="AE11">
        <v>9</v>
      </c>
      <c r="AF11">
        <v>4</v>
      </c>
      <c r="AG11">
        <v>0</v>
      </c>
      <c r="AH11">
        <v>0</v>
      </c>
      <c r="AI11">
        <v>13</v>
      </c>
      <c r="AJ11">
        <v>7</v>
      </c>
      <c r="AK11">
        <v>13</v>
      </c>
      <c r="AL11">
        <v>8</v>
      </c>
      <c r="AM11" s="2">
        <v>99.7</v>
      </c>
    </row>
    <row r="12" spans="1:39" x14ac:dyDescent="0.2">
      <c r="A12">
        <v>36</v>
      </c>
      <c r="B12" t="s">
        <v>22</v>
      </c>
      <c r="C12">
        <v>125</v>
      </c>
      <c r="D12">
        <v>-3.8244918079999999</v>
      </c>
      <c r="E12">
        <v>123.046875</v>
      </c>
      <c r="F12">
        <v>-5.0698199519999996</v>
      </c>
      <c r="G12">
        <v>136.71875</v>
      </c>
      <c r="H12">
        <v>-2.2062625659999999</v>
      </c>
      <c r="I12">
        <v>132.8125</v>
      </c>
      <c r="J12">
        <v>-3.8506875429999998</v>
      </c>
      <c r="K12">
        <v>228.515625</v>
      </c>
      <c r="L12">
        <v>-3.1851867527637698</v>
      </c>
      <c r="M12">
        <v>250</v>
      </c>
      <c r="N12">
        <v>-2.9867698717362399</v>
      </c>
      <c r="O12">
        <f t="shared" si="3"/>
        <v>124.0234375</v>
      </c>
      <c r="P12">
        <f t="shared" si="0"/>
        <v>-4.4471558799999995</v>
      </c>
      <c r="Q12">
        <f t="shared" si="4"/>
        <v>134.765625</v>
      </c>
      <c r="R12">
        <f t="shared" si="5"/>
        <v>-3.0284750544999999</v>
      </c>
      <c r="S12">
        <f t="shared" si="1"/>
        <v>239.2578125</v>
      </c>
      <c r="T12">
        <f t="shared" si="2"/>
        <v>-3.0859783122500049</v>
      </c>
      <c r="U12">
        <v>0.36399458299999998</v>
      </c>
      <c r="V12">
        <v>58</v>
      </c>
      <c r="W12">
        <v>42</v>
      </c>
      <c r="X12">
        <v>3.9</v>
      </c>
      <c r="Y12">
        <v>57</v>
      </c>
      <c r="Z12">
        <v>21</v>
      </c>
      <c r="AA12">
        <v>16</v>
      </c>
      <c r="AB12">
        <v>20</v>
      </c>
      <c r="AC12" t="s">
        <v>27</v>
      </c>
      <c r="AD12">
        <v>4</v>
      </c>
      <c r="AE12">
        <v>8</v>
      </c>
      <c r="AF12">
        <v>3</v>
      </c>
      <c r="AG12">
        <v>7</v>
      </c>
      <c r="AH12">
        <v>5</v>
      </c>
      <c r="AI12">
        <v>11</v>
      </c>
      <c r="AJ12">
        <v>4</v>
      </c>
      <c r="AK12">
        <v>9</v>
      </c>
      <c r="AL12">
        <v>6</v>
      </c>
      <c r="AM12" s="2">
        <v>100</v>
      </c>
    </row>
    <row r="13" spans="1:39" x14ac:dyDescent="0.2">
      <c r="A13">
        <v>37</v>
      </c>
      <c r="B13" t="s">
        <v>22</v>
      </c>
      <c r="C13">
        <v>125</v>
      </c>
      <c r="D13">
        <v>-0.89382535200000002</v>
      </c>
      <c r="E13">
        <v>126.953125</v>
      </c>
      <c r="F13">
        <v>-1.5182815789999999</v>
      </c>
      <c r="G13">
        <v>128.90625</v>
      </c>
      <c r="H13">
        <v>-1.043744521</v>
      </c>
      <c r="I13">
        <v>138.671875</v>
      </c>
      <c r="J13">
        <v>-1.514372219</v>
      </c>
      <c r="K13">
        <v>179.6875</v>
      </c>
      <c r="L13">
        <v>-4.5521111921830597</v>
      </c>
      <c r="M13">
        <v>181.640625</v>
      </c>
      <c r="N13">
        <v>-4.2071676037528301</v>
      </c>
      <c r="O13">
        <f t="shared" si="3"/>
        <v>125.9765625</v>
      </c>
      <c r="P13">
        <f t="shared" si="0"/>
        <v>-1.2060534654999999</v>
      </c>
      <c r="Q13">
        <f t="shared" si="4"/>
        <v>133.7890625</v>
      </c>
      <c r="R13">
        <f t="shared" si="5"/>
        <v>-1.27905837</v>
      </c>
      <c r="S13">
        <f t="shared" si="1"/>
        <v>180.6640625</v>
      </c>
      <c r="T13">
        <f t="shared" si="2"/>
        <v>-4.3796393979679449</v>
      </c>
      <c r="U13">
        <v>0.40883416700000003</v>
      </c>
      <c r="V13">
        <v>55</v>
      </c>
      <c r="W13">
        <v>30</v>
      </c>
      <c r="X13">
        <v>3.25</v>
      </c>
      <c r="Y13">
        <v>56</v>
      </c>
      <c r="Z13">
        <v>30</v>
      </c>
      <c r="AA13">
        <v>1</v>
      </c>
      <c r="AB13">
        <v>25</v>
      </c>
      <c r="AC13" t="s">
        <v>25</v>
      </c>
      <c r="AD13">
        <v>0</v>
      </c>
      <c r="AE13">
        <v>8</v>
      </c>
      <c r="AF13">
        <v>4</v>
      </c>
      <c r="AG13">
        <v>0</v>
      </c>
      <c r="AH13">
        <v>1</v>
      </c>
      <c r="AI13">
        <v>12</v>
      </c>
      <c r="AJ13">
        <v>10</v>
      </c>
      <c r="AK13">
        <v>13</v>
      </c>
      <c r="AL13">
        <v>8</v>
      </c>
      <c r="AM13" s="2">
        <v>100</v>
      </c>
    </row>
    <row r="14" spans="1:39" x14ac:dyDescent="0.2">
      <c r="A14">
        <v>38</v>
      </c>
      <c r="B14" t="s">
        <v>22</v>
      </c>
      <c r="C14">
        <v>136.71875</v>
      </c>
      <c r="D14">
        <v>-1.9730969</v>
      </c>
      <c r="E14">
        <v>136.71875</v>
      </c>
      <c r="F14">
        <v>-1.2321784520000001</v>
      </c>
      <c r="G14">
        <v>130.859375</v>
      </c>
      <c r="H14">
        <v>-2.9426852139999999</v>
      </c>
      <c r="I14">
        <v>128.90625</v>
      </c>
      <c r="J14">
        <v>-2.5183285799999999</v>
      </c>
      <c r="K14">
        <v>171.875</v>
      </c>
      <c r="L14">
        <v>-3.0635098775227898</v>
      </c>
      <c r="M14">
        <v>201.171875</v>
      </c>
      <c r="N14">
        <v>-3.1597080550304302</v>
      </c>
      <c r="O14">
        <f t="shared" si="3"/>
        <v>136.71875</v>
      </c>
      <c r="P14">
        <f t="shared" si="0"/>
        <v>-1.6026376760000001</v>
      </c>
      <c r="Q14">
        <f t="shared" si="4"/>
        <v>129.8828125</v>
      </c>
      <c r="R14">
        <f t="shared" si="5"/>
        <v>-2.7305068969999997</v>
      </c>
      <c r="S14">
        <f t="shared" si="1"/>
        <v>186.5234375</v>
      </c>
      <c r="T14">
        <f t="shared" si="2"/>
        <v>-3.1116089662766102</v>
      </c>
      <c r="U14">
        <v>0.46509851899999999</v>
      </c>
      <c r="V14">
        <v>56</v>
      </c>
      <c r="W14">
        <v>32</v>
      </c>
      <c r="X14">
        <v>3.8</v>
      </c>
      <c r="Y14">
        <v>59</v>
      </c>
      <c r="Z14">
        <v>22</v>
      </c>
      <c r="AA14">
        <v>17</v>
      </c>
      <c r="AB14">
        <v>20</v>
      </c>
      <c r="AC14" t="s">
        <v>27</v>
      </c>
      <c r="AD14">
        <v>8</v>
      </c>
      <c r="AE14">
        <v>7</v>
      </c>
      <c r="AF14">
        <v>6</v>
      </c>
      <c r="AG14">
        <v>3</v>
      </c>
      <c r="AH14">
        <v>6</v>
      </c>
      <c r="AI14">
        <v>9</v>
      </c>
      <c r="AJ14">
        <v>4</v>
      </c>
      <c r="AK14">
        <v>11</v>
      </c>
      <c r="AL14">
        <v>5</v>
      </c>
      <c r="AM14" s="2">
        <v>99.7</v>
      </c>
    </row>
    <row r="15" spans="1:39" x14ac:dyDescent="0.2">
      <c r="A15">
        <v>40</v>
      </c>
      <c r="B15" t="s">
        <v>22</v>
      </c>
      <c r="C15">
        <v>123.046875</v>
      </c>
      <c r="D15">
        <v>-2.463717537</v>
      </c>
      <c r="E15">
        <v>111.328125</v>
      </c>
      <c r="F15">
        <v>-2.7270745239999998</v>
      </c>
      <c r="G15">
        <v>128.90625</v>
      </c>
      <c r="H15">
        <v>-2.5561655679999999</v>
      </c>
      <c r="I15">
        <v>101.5625</v>
      </c>
      <c r="J15">
        <v>-3.0611938479999998</v>
      </c>
      <c r="K15">
        <v>187.5</v>
      </c>
      <c r="L15">
        <v>-1.52855278336567</v>
      </c>
      <c r="M15">
        <v>150.390625</v>
      </c>
      <c r="N15">
        <v>-0.70067497758047204</v>
      </c>
      <c r="O15">
        <f t="shared" si="3"/>
        <v>117.1875</v>
      </c>
      <c r="P15">
        <f t="shared" si="0"/>
        <v>-2.5953960304999999</v>
      </c>
      <c r="Q15">
        <f t="shared" si="4"/>
        <v>115.234375</v>
      </c>
      <c r="R15">
        <f t="shared" si="5"/>
        <v>-2.8086797079999997</v>
      </c>
      <c r="S15">
        <f t="shared" si="1"/>
        <v>168.9453125</v>
      </c>
      <c r="T15">
        <f t="shared" si="2"/>
        <v>-1.114613880473071</v>
      </c>
      <c r="U15">
        <v>0.42174045500000001</v>
      </c>
      <c r="V15">
        <v>47</v>
      </c>
      <c r="W15">
        <v>22</v>
      </c>
      <c r="X15">
        <v>3.75</v>
      </c>
      <c r="Y15">
        <v>51</v>
      </c>
      <c r="Z15">
        <v>24</v>
      </c>
      <c r="AA15">
        <v>13</v>
      </c>
      <c r="AB15">
        <v>14</v>
      </c>
      <c r="AC15" t="s">
        <v>27</v>
      </c>
      <c r="AD15">
        <v>10</v>
      </c>
      <c r="AE15">
        <v>7</v>
      </c>
      <c r="AF15">
        <v>3</v>
      </c>
      <c r="AG15">
        <v>2</v>
      </c>
      <c r="AH15">
        <v>1</v>
      </c>
      <c r="AI15">
        <v>6</v>
      </c>
      <c r="AJ15">
        <v>11</v>
      </c>
      <c r="AK15">
        <v>8</v>
      </c>
      <c r="AL15">
        <v>3</v>
      </c>
      <c r="AM15" s="2">
        <v>99.8</v>
      </c>
    </row>
    <row r="16" spans="1:39" x14ac:dyDescent="0.2">
      <c r="A16">
        <v>41</v>
      </c>
      <c r="B16" t="s">
        <v>22</v>
      </c>
      <c r="C16">
        <v>121.09375</v>
      </c>
      <c r="D16">
        <v>-1.4049344850000001</v>
      </c>
      <c r="E16">
        <v>115.234375</v>
      </c>
      <c r="F16">
        <v>-0.48213995799999998</v>
      </c>
      <c r="G16">
        <v>117.1875</v>
      </c>
      <c r="H16">
        <v>-0.92812011400000005</v>
      </c>
      <c r="I16">
        <v>111.328125</v>
      </c>
      <c r="J16">
        <v>-0.65360210100000005</v>
      </c>
      <c r="K16">
        <v>224.609375</v>
      </c>
      <c r="L16">
        <v>-1.9298315893870699</v>
      </c>
      <c r="M16">
        <v>179.6875</v>
      </c>
      <c r="N16">
        <v>-1.50129138207579</v>
      </c>
      <c r="O16">
        <f t="shared" si="3"/>
        <v>118.1640625</v>
      </c>
      <c r="P16">
        <f t="shared" si="0"/>
        <v>-0.94353722149999997</v>
      </c>
      <c r="Q16">
        <f t="shared" si="4"/>
        <v>114.2578125</v>
      </c>
      <c r="R16">
        <f t="shared" si="5"/>
        <v>-0.79086110750000005</v>
      </c>
      <c r="S16">
        <f t="shared" si="1"/>
        <v>202.1484375</v>
      </c>
      <c r="T16">
        <f t="shared" si="2"/>
        <v>-1.7155614857314299</v>
      </c>
      <c r="U16">
        <v>0.40930041700000003</v>
      </c>
      <c r="V16">
        <v>59</v>
      </c>
      <c r="W16">
        <v>54</v>
      </c>
      <c r="X16">
        <v>4</v>
      </c>
      <c r="Y16">
        <v>63</v>
      </c>
      <c r="Z16">
        <v>26</v>
      </c>
      <c r="AA16">
        <v>14</v>
      </c>
      <c r="AB16">
        <v>23</v>
      </c>
      <c r="AC16" t="s">
        <v>25</v>
      </c>
      <c r="AD16">
        <v>4</v>
      </c>
      <c r="AE16">
        <v>7</v>
      </c>
      <c r="AF16">
        <v>1</v>
      </c>
      <c r="AG16">
        <v>5</v>
      </c>
      <c r="AH16">
        <v>5</v>
      </c>
      <c r="AI16">
        <v>12</v>
      </c>
      <c r="AJ16">
        <v>10</v>
      </c>
      <c r="AK16">
        <v>11</v>
      </c>
      <c r="AL16">
        <v>8</v>
      </c>
      <c r="AM16" s="2">
        <v>99.8</v>
      </c>
    </row>
    <row r="17" spans="1:39" x14ac:dyDescent="0.2">
      <c r="A17">
        <v>43</v>
      </c>
      <c r="B17" t="s">
        <v>22</v>
      </c>
      <c r="C17">
        <v>128.90625</v>
      </c>
      <c r="D17">
        <v>-2.46088343</v>
      </c>
      <c r="E17">
        <v>111.328125</v>
      </c>
      <c r="F17">
        <v>-2.2689737879999998</v>
      </c>
      <c r="G17">
        <v>123.046875</v>
      </c>
      <c r="H17">
        <v>-3.1036623300000001</v>
      </c>
      <c r="I17">
        <v>117.1875</v>
      </c>
      <c r="J17">
        <v>-3.002145606</v>
      </c>
      <c r="K17">
        <v>150.390625</v>
      </c>
      <c r="L17">
        <v>-2.8327778843359201</v>
      </c>
      <c r="M17">
        <v>150.390625</v>
      </c>
      <c r="N17">
        <v>-0.94241340146312902</v>
      </c>
      <c r="O17">
        <f t="shared" si="3"/>
        <v>120.1171875</v>
      </c>
      <c r="P17">
        <f t="shared" si="0"/>
        <v>-2.3649286089999997</v>
      </c>
      <c r="Q17">
        <f t="shared" si="4"/>
        <v>120.1171875</v>
      </c>
      <c r="R17">
        <f t="shared" si="5"/>
        <v>-3.0529039679999999</v>
      </c>
      <c r="S17">
        <f t="shared" si="1"/>
        <v>150.390625</v>
      </c>
      <c r="T17">
        <f t="shared" si="2"/>
        <v>-1.8875956428995246</v>
      </c>
      <c r="U17">
        <v>0.40870499999999998</v>
      </c>
      <c r="V17">
        <v>47</v>
      </c>
      <c r="W17">
        <v>22</v>
      </c>
      <c r="X17" s="3">
        <v>2.75</v>
      </c>
      <c r="Y17">
        <v>61</v>
      </c>
      <c r="Z17">
        <v>22</v>
      </c>
      <c r="AA17">
        <v>24</v>
      </c>
      <c r="AB17">
        <v>15</v>
      </c>
      <c r="AC17" t="s">
        <v>27</v>
      </c>
      <c r="AD17">
        <v>11</v>
      </c>
      <c r="AE17">
        <v>4</v>
      </c>
      <c r="AF17">
        <v>6</v>
      </c>
      <c r="AG17">
        <v>6</v>
      </c>
      <c r="AH17">
        <v>7</v>
      </c>
      <c r="AI17">
        <v>3</v>
      </c>
      <c r="AJ17">
        <v>8</v>
      </c>
      <c r="AK17">
        <v>12</v>
      </c>
      <c r="AL17">
        <v>4</v>
      </c>
      <c r="AM17" s="2">
        <v>100</v>
      </c>
    </row>
    <row r="18" spans="1:39" x14ac:dyDescent="0.2">
      <c r="A18">
        <v>44</v>
      </c>
      <c r="B18" t="s">
        <v>22</v>
      </c>
      <c r="C18">
        <v>113.28125</v>
      </c>
      <c r="D18">
        <v>-0.46541709599999997</v>
      </c>
      <c r="E18">
        <v>111.328125</v>
      </c>
      <c r="F18">
        <v>-0.70948340899999995</v>
      </c>
      <c r="G18">
        <v>138.671875</v>
      </c>
      <c r="H18">
        <v>-0.66912548699999996</v>
      </c>
      <c r="I18">
        <v>115.234375</v>
      </c>
      <c r="J18">
        <v>-0.85100480999999994</v>
      </c>
      <c r="K18">
        <v>164.0625</v>
      </c>
      <c r="L18">
        <v>-2.9032787530326498</v>
      </c>
      <c r="M18">
        <v>205.078125</v>
      </c>
      <c r="N18">
        <v>-2.9043631571049402</v>
      </c>
      <c r="O18">
        <f t="shared" si="3"/>
        <v>112.3046875</v>
      </c>
      <c r="P18">
        <f t="shared" si="0"/>
        <v>-0.58745025249999994</v>
      </c>
      <c r="Q18">
        <f t="shared" si="4"/>
        <v>126.953125</v>
      </c>
      <c r="R18">
        <f t="shared" si="5"/>
        <v>-0.76006514849999995</v>
      </c>
      <c r="S18">
        <f t="shared" si="1"/>
        <v>184.5703125</v>
      </c>
      <c r="T18">
        <f t="shared" si="2"/>
        <v>-2.9038209550687952</v>
      </c>
      <c r="U18">
        <v>0.39576629600000002</v>
      </c>
      <c r="V18">
        <v>60</v>
      </c>
      <c r="W18">
        <v>27</v>
      </c>
      <c r="X18">
        <v>3.6</v>
      </c>
      <c r="Y18">
        <v>68</v>
      </c>
      <c r="Z18">
        <v>24</v>
      </c>
      <c r="AA18">
        <v>24</v>
      </c>
      <c r="AB18">
        <v>20</v>
      </c>
      <c r="AC18" t="s">
        <v>27</v>
      </c>
      <c r="AD18">
        <v>11</v>
      </c>
      <c r="AE18">
        <v>6</v>
      </c>
      <c r="AF18">
        <v>5</v>
      </c>
      <c r="AG18">
        <v>6</v>
      </c>
      <c r="AH18">
        <v>7</v>
      </c>
      <c r="AI18">
        <v>8</v>
      </c>
      <c r="AJ18">
        <v>7</v>
      </c>
      <c r="AK18">
        <v>12</v>
      </c>
      <c r="AL18">
        <v>6</v>
      </c>
      <c r="AM18" s="2">
        <v>98.4</v>
      </c>
    </row>
    <row r="19" spans="1:39" x14ac:dyDescent="0.2">
      <c r="A19">
        <v>45</v>
      </c>
      <c r="B19" t="s">
        <v>22</v>
      </c>
      <c r="C19">
        <v>138.671875</v>
      </c>
      <c r="D19">
        <v>-2.6027335890000001</v>
      </c>
      <c r="E19">
        <v>138.671875</v>
      </c>
      <c r="F19">
        <v>-1.607325103</v>
      </c>
      <c r="G19">
        <v>138.671875</v>
      </c>
      <c r="H19">
        <v>-6.6441331339999996</v>
      </c>
      <c r="I19">
        <v>134.765625</v>
      </c>
      <c r="J19">
        <v>-3.983667547</v>
      </c>
      <c r="K19">
        <v>189.453125</v>
      </c>
      <c r="L19">
        <v>-5.1763134990027204</v>
      </c>
      <c r="M19">
        <v>193.359375</v>
      </c>
      <c r="N19">
        <v>-1.73781611475884</v>
      </c>
      <c r="O19">
        <f t="shared" si="3"/>
        <v>138.671875</v>
      </c>
      <c r="P19">
        <f t="shared" si="0"/>
        <v>-2.1050293460000002</v>
      </c>
      <c r="Q19">
        <f t="shared" si="4"/>
        <v>136.71875</v>
      </c>
      <c r="R19">
        <f t="shared" si="5"/>
        <v>-5.3139003405</v>
      </c>
      <c r="S19">
        <f t="shared" si="1"/>
        <v>191.40625</v>
      </c>
      <c r="T19">
        <f t="shared" si="2"/>
        <v>-3.4570648068807803</v>
      </c>
      <c r="U19">
        <v>0.38718760000000002</v>
      </c>
      <c r="V19">
        <v>55</v>
      </c>
      <c r="W19">
        <v>15</v>
      </c>
      <c r="X19">
        <v>3.75</v>
      </c>
      <c r="Y19">
        <v>53</v>
      </c>
      <c r="Z19">
        <v>24</v>
      </c>
      <c r="AA19">
        <v>10</v>
      </c>
      <c r="AB19">
        <v>19</v>
      </c>
      <c r="AC19" t="s">
        <v>27</v>
      </c>
      <c r="AD19">
        <v>6</v>
      </c>
      <c r="AE19">
        <v>7</v>
      </c>
      <c r="AF19">
        <v>4</v>
      </c>
      <c r="AG19">
        <v>0</v>
      </c>
      <c r="AH19">
        <v>4</v>
      </c>
      <c r="AI19">
        <v>7</v>
      </c>
      <c r="AJ19">
        <v>6</v>
      </c>
      <c r="AK19">
        <v>12</v>
      </c>
      <c r="AL19">
        <v>7</v>
      </c>
      <c r="AM19" s="2">
        <v>97.6</v>
      </c>
    </row>
    <row r="20" spans="1:39" x14ac:dyDescent="0.2">
      <c r="A20">
        <v>46</v>
      </c>
      <c r="B20" t="s">
        <v>22</v>
      </c>
      <c r="C20">
        <v>128.90625</v>
      </c>
      <c r="D20">
        <v>2.8042866860000002</v>
      </c>
      <c r="E20">
        <v>123.046875</v>
      </c>
      <c r="F20">
        <v>1.807916836</v>
      </c>
      <c r="G20">
        <v>80.078125</v>
      </c>
      <c r="H20">
        <v>2.8648084699999998</v>
      </c>
      <c r="I20">
        <v>80.078125</v>
      </c>
      <c r="J20">
        <v>3.9030292219999998</v>
      </c>
      <c r="K20">
        <v>169.921875</v>
      </c>
      <c r="L20">
        <v>-1.2312166564365801</v>
      </c>
      <c r="M20">
        <v>191.40625</v>
      </c>
      <c r="N20">
        <v>-0.56825736807407001</v>
      </c>
      <c r="O20">
        <f t="shared" si="3"/>
        <v>125.9765625</v>
      </c>
      <c r="P20">
        <f t="shared" si="0"/>
        <v>2.3061017609999999</v>
      </c>
      <c r="Q20">
        <f t="shared" si="4"/>
        <v>80.078125</v>
      </c>
      <c r="R20">
        <f t="shared" si="5"/>
        <v>3.3839188459999998</v>
      </c>
      <c r="S20">
        <f t="shared" si="1"/>
        <v>180.6640625</v>
      </c>
      <c r="T20">
        <f t="shared" si="2"/>
        <v>-0.89973701225532499</v>
      </c>
      <c r="U20">
        <v>0.37419708299999999</v>
      </c>
      <c r="V20">
        <v>39</v>
      </c>
      <c r="W20">
        <v>17</v>
      </c>
      <c r="X20">
        <v>3.7</v>
      </c>
      <c r="Y20">
        <v>70</v>
      </c>
      <c r="Z20">
        <v>28</v>
      </c>
      <c r="AA20">
        <v>20</v>
      </c>
      <c r="AB20">
        <v>22</v>
      </c>
      <c r="AC20" t="s">
        <v>23</v>
      </c>
      <c r="AD20">
        <v>10</v>
      </c>
      <c r="AE20">
        <v>8</v>
      </c>
      <c r="AF20">
        <v>7</v>
      </c>
      <c r="AG20">
        <v>4</v>
      </c>
      <c r="AH20">
        <v>6</v>
      </c>
      <c r="AI20">
        <v>8</v>
      </c>
      <c r="AJ20">
        <v>6</v>
      </c>
      <c r="AK20">
        <v>14</v>
      </c>
      <c r="AL20">
        <v>7</v>
      </c>
      <c r="AM20" s="2">
        <v>99.8</v>
      </c>
    </row>
    <row r="21" spans="1:39" x14ac:dyDescent="0.2">
      <c r="A21">
        <v>60</v>
      </c>
      <c r="B21" t="s">
        <v>22</v>
      </c>
      <c r="C21">
        <v>136.71875</v>
      </c>
      <c r="D21">
        <v>-2.4537671749999999</v>
      </c>
      <c r="E21">
        <v>134.765625</v>
      </c>
      <c r="F21">
        <v>-2.6780146139999998</v>
      </c>
      <c r="G21">
        <v>134.765625</v>
      </c>
      <c r="H21">
        <v>-4.3148814360000003</v>
      </c>
      <c r="I21">
        <v>138.671875</v>
      </c>
      <c r="J21">
        <v>-4.1990562259999997</v>
      </c>
      <c r="K21">
        <v>189.453125</v>
      </c>
      <c r="L21">
        <v>-5.3581362227143998</v>
      </c>
      <c r="M21">
        <v>189.453125</v>
      </c>
      <c r="N21">
        <v>-4.7830508546843902</v>
      </c>
      <c r="O21">
        <f t="shared" si="3"/>
        <v>135.7421875</v>
      </c>
      <c r="P21">
        <f t="shared" si="0"/>
        <v>-2.5658908944999999</v>
      </c>
      <c r="Q21">
        <f t="shared" si="4"/>
        <v>136.71875</v>
      </c>
      <c r="R21">
        <f t="shared" si="5"/>
        <v>-4.256968831</v>
      </c>
      <c r="S21">
        <f t="shared" si="1"/>
        <v>189.453125</v>
      </c>
      <c r="T21">
        <f t="shared" si="2"/>
        <v>-5.070593538699395</v>
      </c>
      <c r="U21">
        <v>0.349315769</v>
      </c>
      <c r="V21">
        <v>37</v>
      </c>
      <c r="W21">
        <v>14</v>
      </c>
      <c r="X21">
        <v>3.75</v>
      </c>
      <c r="Y21">
        <v>57</v>
      </c>
      <c r="Z21">
        <v>21</v>
      </c>
      <c r="AA21">
        <v>20</v>
      </c>
      <c r="AB21">
        <v>16</v>
      </c>
      <c r="AC21" t="s">
        <v>27</v>
      </c>
      <c r="AD21">
        <v>8</v>
      </c>
      <c r="AE21">
        <v>6</v>
      </c>
      <c r="AF21">
        <v>5</v>
      </c>
      <c r="AG21">
        <v>6</v>
      </c>
      <c r="AH21">
        <v>6</v>
      </c>
      <c r="AI21">
        <v>4</v>
      </c>
      <c r="AJ21">
        <v>4</v>
      </c>
      <c r="AK21">
        <v>12</v>
      </c>
      <c r="AL21">
        <v>6</v>
      </c>
      <c r="AM21" s="2">
        <v>100</v>
      </c>
    </row>
    <row r="22" spans="1:39" x14ac:dyDescent="0.2">
      <c r="A22">
        <v>61</v>
      </c>
      <c r="B22" t="s">
        <v>22</v>
      </c>
      <c r="C22">
        <v>128.90625</v>
      </c>
      <c r="D22">
        <v>-3.8407351529999998</v>
      </c>
      <c r="E22">
        <v>123.046875</v>
      </c>
      <c r="F22">
        <v>-3.3666246740000001</v>
      </c>
      <c r="G22">
        <v>138.671875</v>
      </c>
      <c r="H22">
        <v>-3.216143669</v>
      </c>
      <c r="I22">
        <v>123.046875</v>
      </c>
      <c r="J22">
        <v>-2.977107921</v>
      </c>
      <c r="K22">
        <v>179.6875</v>
      </c>
      <c r="L22">
        <v>-0.51574268939366597</v>
      </c>
      <c r="M22">
        <v>207.03125</v>
      </c>
      <c r="N22">
        <v>-0.56097914618987099</v>
      </c>
      <c r="O22">
        <f t="shared" si="3"/>
        <v>125.9765625</v>
      </c>
      <c r="P22">
        <f t="shared" si="0"/>
        <v>-3.6036799134999997</v>
      </c>
      <c r="Q22">
        <f t="shared" si="4"/>
        <v>130.859375</v>
      </c>
      <c r="R22">
        <f t="shared" si="5"/>
        <v>-3.096625795</v>
      </c>
      <c r="S22">
        <f t="shared" si="1"/>
        <v>193.359375</v>
      </c>
      <c r="T22">
        <f t="shared" si="2"/>
        <v>-0.53836091779176853</v>
      </c>
      <c r="U22">
        <v>0.46724310299999999</v>
      </c>
      <c r="V22">
        <v>52</v>
      </c>
      <c r="W22">
        <v>19</v>
      </c>
      <c r="X22">
        <v>3.5</v>
      </c>
      <c r="Y22">
        <v>56</v>
      </c>
      <c r="Z22">
        <v>20</v>
      </c>
      <c r="AA22">
        <v>16</v>
      </c>
      <c r="AB22">
        <v>20</v>
      </c>
      <c r="AC22" t="s">
        <v>27</v>
      </c>
      <c r="AD22">
        <v>8</v>
      </c>
      <c r="AE22">
        <v>9</v>
      </c>
      <c r="AF22">
        <v>8</v>
      </c>
      <c r="AG22">
        <v>3</v>
      </c>
      <c r="AH22">
        <v>5</v>
      </c>
      <c r="AI22">
        <v>5</v>
      </c>
      <c r="AJ22">
        <v>0</v>
      </c>
      <c r="AK22">
        <v>15</v>
      </c>
      <c r="AL22">
        <v>3</v>
      </c>
      <c r="AM22" s="2">
        <v>100</v>
      </c>
    </row>
    <row r="23" spans="1:39" x14ac:dyDescent="0.2">
      <c r="A23">
        <v>63</v>
      </c>
      <c r="B23" t="s">
        <v>22</v>
      </c>
      <c r="C23">
        <v>138.671875</v>
      </c>
      <c r="D23">
        <v>-1.4881437719999999</v>
      </c>
      <c r="E23">
        <v>138.671875</v>
      </c>
      <c r="F23">
        <v>-1.1215299540000001</v>
      </c>
      <c r="G23">
        <v>138.671875</v>
      </c>
      <c r="H23">
        <v>-3.8464823639999999</v>
      </c>
      <c r="I23">
        <v>138.671875</v>
      </c>
      <c r="J23">
        <v>-3.8749549170000002</v>
      </c>
      <c r="K23">
        <v>222.65625</v>
      </c>
      <c r="L23">
        <v>-2.2546470084238699</v>
      </c>
      <c r="M23">
        <v>166.015625</v>
      </c>
      <c r="N23">
        <v>-2.1741607087805002</v>
      </c>
      <c r="O23">
        <f t="shared" si="3"/>
        <v>138.671875</v>
      </c>
      <c r="P23">
        <f t="shared" si="0"/>
        <v>-1.304836863</v>
      </c>
      <c r="Q23">
        <f t="shared" si="4"/>
        <v>138.671875</v>
      </c>
      <c r="R23">
        <f t="shared" si="5"/>
        <v>-3.8607186405</v>
      </c>
      <c r="S23">
        <f t="shared" si="1"/>
        <v>194.3359375</v>
      </c>
      <c r="T23">
        <f t="shared" si="2"/>
        <v>-2.2144038586021848</v>
      </c>
      <c r="U23">
        <v>0.44197799999999998</v>
      </c>
      <c r="V23">
        <v>52</v>
      </c>
      <c r="W23">
        <v>20</v>
      </c>
      <c r="X23">
        <v>3.5</v>
      </c>
      <c r="Y23">
        <v>66</v>
      </c>
      <c r="Z23">
        <v>27</v>
      </c>
      <c r="AA23">
        <v>16</v>
      </c>
      <c r="AB23">
        <v>23</v>
      </c>
      <c r="AC23" t="s">
        <v>25</v>
      </c>
      <c r="AD23">
        <v>10</v>
      </c>
      <c r="AE23">
        <v>8</v>
      </c>
      <c r="AF23">
        <v>7</v>
      </c>
      <c r="AG23">
        <v>4</v>
      </c>
      <c r="AH23">
        <v>2</v>
      </c>
      <c r="AI23">
        <v>11</v>
      </c>
      <c r="AJ23">
        <v>5</v>
      </c>
      <c r="AK23">
        <v>12</v>
      </c>
      <c r="AL23">
        <v>7</v>
      </c>
      <c r="AM23" s="2">
        <v>99.8</v>
      </c>
    </row>
    <row r="24" spans="1:39" x14ac:dyDescent="0.2">
      <c r="A24">
        <v>65</v>
      </c>
      <c r="B24" t="s">
        <v>22</v>
      </c>
      <c r="C24">
        <v>138.671875</v>
      </c>
      <c r="D24">
        <v>-0.63320713399999995</v>
      </c>
      <c r="E24">
        <v>138.671875</v>
      </c>
      <c r="F24">
        <v>-0.16744383299999999</v>
      </c>
      <c r="G24">
        <v>138.671875</v>
      </c>
      <c r="H24">
        <v>-1.923263376</v>
      </c>
      <c r="I24">
        <v>138.671875</v>
      </c>
      <c r="J24">
        <v>-1.294882254</v>
      </c>
      <c r="K24">
        <v>232.421875</v>
      </c>
      <c r="L24">
        <v>-5.8107130462048104</v>
      </c>
      <c r="M24">
        <v>232.421875</v>
      </c>
      <c r="N24">
        <v>-6.45648738976681</v>
      </c>
      <c r="O24">
        <f t="shared" si="3"/>
        <v>138.671875</v>
      </c>
      <c r="P24">
        <f t="shared" si="0"/>
        <v>-0.40032548349999997</v>
      </c>
      <c r="Q24">
        <f t="shared" si="4"/>
        <v>138.671875</v>
      </c>
      <c r="R24">
        <f>AVERAGE(H24,J24)</f>
        <v>-1.609072815</v>
      </c>
      <c r="S24">
        <f t="shared" si="1"/>
        <v>232.421875</v>
      </c>
      <c r="T24">
        <f>AVERAGE(L24,N24)</f>
        <v>-6.1336002179858102</v>
      </c>
      <c r="U24">
        <v>0.39435541699999999</v>
      </c>
      <c r="V24">
        <v>53</v>
      </c>
      <c r="W24">
        <v>29</v>
      </c>
      <c r="X24">
        <v>3.2</v>
      </c>
      <c r="Y24">
        <v>63</v>
      </c>
      <c r="Z24">
        <v>20</v>
      </c>
      <c r="AA24">
        <v>24</v>
      </c>
      <c r="AB24">
        <v>19</v>
      </c>
      <c r="AC24" t="s">
        <v>27</v>
      </c>
      <c r="AD24">
        <v>11</v>
      </c>
      <c r="AE24">
        <v>7</v>
      </c>
      <c r="AF24">
        <v>3</v>
      </c>
      <c r="AG24">
        <v>4</v>
      </c>
      <c r="AH24">
        <v>9</v>
      </c>
      <c r="AI24">
        <v>10</v>
      </c>
      <c r="AJ24">
        <v>2</v>
      </c>
      <c r="AK24">
        <v>9</v>
      </c>
      <c r="AL24">
        <v>8</v>
      </c>
      <c r="AM24" s="2">
        <v>99.7</v>
      </c>
    </row>
    <row r="25" spans="1:39" x14ac:dyDescent="0.2">
      <c r="A25">
        <v>72</v>
      </c>
      <c r="B25" t="s">
        <v>22</v>
      </c>
      <c r="C25">
        <v>99.609375</v>
      </c>
      <c r="D25">
        <v>-2.731009792</v>
      </c>
      <c r="E25">
        <v>99.609375</v>
      </c>
      <c r="F25">
        <v>-2.440349586</v>
      </c>
      <c r="G25">
        <v>134.765625</v>
      </c>
      <c r="H25">
        <v>-1.731479945</v>
      </c>
      <c r="I25">
        <v>132.8125</v>
      </c>
      <c r="J25">
        <v>-3.7375183110000001</v>
      </c>
      <c r="K25">
        <v>236.328125</v>
      </c>
      <c r="L25">
        <v>-3.69081064288536</v>
      </c>
      <c r="M25">
        <v>177.734375</v>
      </c>
      <c r="N25">
        <v>-3.62796825904835</v>
      </c>
      <c r="O25">
        <f t="shared" si="3"/>
        <v>99.609375</v>
      </c>
      <c r="P25">
        <f t="shared" si="0"/>
        <v>-2.585679689</v>
      </c>
      <c r="Q25">
        <f t="shared" si="4"/>
        <v>133.7890625</v>
      </c>
      <c r="R25">
        <f>AVERAGE(H25,J25)</f>
        <v>-2.7344991279999999</v>
      </c>
      <c r="S25">
        <f t="shared" si="1"/>
        <v>207.03125</v>
      </c>
      <c r="T25">
        <f t="shared" si="2"/>
        <v>-3.659389450966855</v>
      </c>
      <c r="U25">
        <v>0.33851458299999998</v>
      </c>
      <c r="V25">
        <v>50</v>
      </c>
      <c r="W25">
        <v>34</v>
      </c>
      <c r="X25">
        <v>4</v>
      </c>
      <c r="Y25">
        <v>70</v>
      </c>
      <c r="Z25">
        <v>28</v>
      </c>
      <c r="AA25">
        <v>24</v>
      </c>
      <c r="AB25">
        <v>18</v>
      </c>
      <c r="AC25" t="s">
        <v>27</v>
      </c>
      <c r="AD25">
        <v>12</v>
      </c>
      <c r="AE25">
        <v>6</v>
      </c>
      <c r="AF25">
        <v>6</v>
      </c>
      <c r="AG25">
        <v>8</v>
      </c>
      <c r="AH25">
        <v>4</v>
      </c>
      <c r="AI25">
        <v>5</v>
      </c>
      <c r="AJ25">
        <v>6</v>
      </c>
      <c r="AK25">
        <v>13</v>
      </c>
      <c r="AL25">
        <v>10</v>
      </c>
      <c r="AM25" s="2">
        <v>99.7</v>
      </c>
    </row>
    <row r="26" spans="1:39" x14ac:dyDescent="0.2">
      <c r="A26">
        <v>73</v>
      </c>
      <c r="B26" t="s">
        <v>22</v>
      </c>
      <c r="C26">
        <v>138.671875</v>
      </c>
      <c r="D26">
        <v>-2.9024691979999999</v>
      </c>
      <c r="E26">
        <v>138.671875</v>
      </c>
      <c r="F26">
        <v>-1.568042258</v>
      </c>
      <c r="G26">
        <v>138.671875</v>
      </c>
      <c r="H26">
        <v>-3.7950205700000001</v>
      </c>
      <c r="I26">
        <v>138.671875</v>
      </c>
      <c r="J26">
        <v>-3.4847353669999999</v>
      </c>
      <c r="K26">
        <v>173.828125</v>
      </c>
      <c r="L26">
        <v>-3.3469428942328001</v>
      </c>
      <c r="M26">
        <v>171.875</v>
      </c>
      <c r="N26">
        <v>-2.9419355186338598</v>
      </c>
      <c r="O26">
        <f t="shared" si="3"/>
        <v>138.671875</v>
      </c>
      <c r="P26">
        <f t="shared" si="0"/>
        <v>-2.2352557279999998</v>
      </c>
      <c r="Q26">
        <f t="shared" si="4"/>
        <v>138.671875</v>
      </c>
      <c r="R26">
        <f t="shared" ref="R26:R40" si="6">AVERAGE(H26,J26)</f>
        <v>-3.6398779685</v>
      </c>
      <c r="S26">
        <f t="shared" si="1"/>
        <v>172.8515625</v>
      </c>
      <c r="T26">
        <f t="shared" si="2"/>
        <v>-3.1444392064333302</v>
      </c>
      <c r="U26">
        <v>0.39151291666666699</v>
      </c>
      <c r="V26">
        <v>45</v>
      </c>
      <c r="W26">
        <v>27</v>
      </c>
      <c r="X26" s="3">
        <v>3.7</v>
      </c>
      <c r="Y26">
        <v>53</v>
      </c>
      <c r="Z26">
        <v>19</v>
      </c>
      <c r="AA26">
        <v>18</v>
      </c>
      <c r="AB26">
        <v>16</v>
      </c>
      <c r="AC26" t="s">
        <v>27</v>
      </c>
      <c r="AD26">
        <v>10</v>
      </c>
      <c r="AE26">
        <v>8</v>
      </c>
      <c r="AF26">
        <v>2</v>
      </c>
      <c r="AG26">
        <v>4</v>
      </c>
      <c r="AH26">
        <v>4</v>
      </c>
      <c r="AI26">
        <v>5</v>
      </c>
      <c r="AJ26">
        <v>7</v>
      </c>
      <c r="AK26">
        <v>11</v>
      </c>
      <c r="AL26">
        <v>2</v>
      </c>
      <c r="AM26" s="2">
        <v>100</v>
      </c>
    </row>
    <row r="27" spans="1:39" x14ac:dyDescent="0.2">
      <c r="A27">
        <v>74</v>
      </c>
      <c r="B27" t="s">
        <v>22</v>
      </c>
      <c r="C27">
        <v>107.421875</v>
      </c>
      <c r="D27">
        <v>-3.524809656</v>
      </c>
      <c r="E27">
        <v>109.375</v>
      </c>
      <c r="F27">
        <v>-3.6156177860000001</v>
      </c>
      <c r="G27">
        <v>132.8125</v>
      </c>
      <c r="H27">
        <v>-5.0545526550000002</v>
      </c>
      <c r="I27">
        <v>130.859375</v>
      </c>
      <c r="J27">
        <v>-5.4140302079999998</v>
      </c>
      <c r="K27">
        <v>158.203125</v>
      </c>
      <c r="L27">
        <v>-4.1718761725510998</v>
      </c>
      <c r="M27">
        <v>158.203125</v>
      </c>
      <c r="N27">
        <v>-3.8008275103873901</v>
      </c>
      <c r="O27">
        <f t="shared" si="3"/>
        <v>108.3984375</v>
      </c>
      <c r="P27">
        <f t="shared" si="0"/>
        <v>-3.570213721</v>
      </c>
      <c r="Q27">
        <f t="shared" si="4"/>
        <v>131.8359375</v>
      </c>
      <c r="R27">
        <f t="shared" si="6"/>
        <v>-5.2342914315</v>
      </c>
      <c r="S27">
        <f t="shared" si="1"/>
        <v>158.203125</v>
      </c>
      <c r="T27">
        <f t="shared" si="2"/>
        <v>-3.9863518414692449</v>
      </c>
      <c r="U27">
        <v>0.360927368421053</v>
      </c>
      <c r="V27">
        <v>54</v>
      </c>
      <c r="W27">
        <v>32</v>
      </c>
      <c r="X27" s="3">
        <v>3.7</v>
      </c>
      <c r="Y27">
        <v>53</v>
      </c>
      <c r="Z27">
        <v>16</v>
      </c>
      <c r="AA27">
        <v>22</v>
      </c>
      <c r="AB27">
        <v>15</v>
      </c>
      <c r="AC27" t="s">
        <v>27</v>
      </c>
      <c r="AD27">
        <v>8</v>
      </c>
      <c r="AE27">
        <v>5</v>
      </c>
      <c r="AF27">
        <v>7</v>
      </c>
      <c r="AG27">
        <v>10</v>
      </c>
      <c r="AH27">
        <v>4</v>
      </c>
      <c r="AI27">
        <v>3</v>
      </c>
      <c r="AJ27">
        <v>0</v>
      </c>
      <c r="AK27">
        <v>12</v>
      </c>
      <c r="AL27">
        <v>4</v>
      </c>
      <c r="AM27" s="2">
        <v>99.5</v>
      </c>
    </row>
    <row r="28" spans="1:39" x14ac:dyDescent="0.2">
      <c r="A28">
        <v>75</v>
      </c>
      <c r="B28" t="s">
        <v>22</v>
      </c>
      <c r="C28">
        <v>119.140625</v>
      </c>
      <c r="D28">
        <v>-1.5505478370000001</v>
      </c>
      <c r="E28">
        <v>119.140625</v>
      </c>
      <c r="F28">
        <v>-2.389128591</v>
      </c>
      <c r="G28">
        <v>125</v>
      </c>
      <c r="H28">
        <v>-4.9107985899999997</v>
      </c>
      <c r="I28">
        <v>125</v>
      </c>
      <c r="J28">
        <v>-5.9591865999999998</v>
      </c>
      <c r="K28">
        <v>205.078125</v>
      </c>
      <c r="L28">
        <v>-6.4688113010755099</v>
      </c>
      <c r="M28">
        <v>205.078125</v>
      </c>
      <c r="N28">
        <v>-6.4874201284006796</v>
      </c>
      <c r="O28">
        <f t="shared" si="3"/>
        <v>119.140625</v>
      </c>
      <c r="P28">
        <f t="shared" si="0"/>
        <v>-1.9698382140000001</v>
      </c>
      <c r="Q28">
        <f t="shared" si="4"/>
        <v>125</v>
      </c>
      <c r="R28">
        <f t="shared" si="6"/>
        <v>-5.4349925949999998</v>
      </c>
      <c r="S28">
        <f t="shared" si="1"/>
        <v>205.078125</v>
      </c>
      <c r="T28">
        <f t="shared" si="2"/>
        <v>-6.4781157147380952</v>
      </c>
      <c r="U28">
        <v>0.30578</v>
      </c>
      <c r="V28">
        <v>53</v>
      </c>
      <c r="W28">
        <v>14</v>
      </c>
      <c r="X28">
        <v>3.76</v>
      </c>
      <c r="Y28">
        <v>54</v>
      </c>
      <c r="Z28">
        <v>24</v>
      </c>
      <c r="AA28">
        <v>17</v>
      </c>
      <c r="AB28">
        <v>13</v>
      </c>
      <c r="AC28" t="s">
        <v>27</v>
      </c>
      <c r="AD28">
        <v>8</v>
      </c>
      <c r="AE28">
        <v>6</v>
      </c>
      <c r="AF28">
        <v>3</v>
      </c>
      <c r="AG28">
        <v>3</v>
      </c>
      <c r="AH28">
        <v>6</v>
      </c>
      <c r="AI28">
        <v>3</v>
      </c>
      <c r="AJ28">
        <v>8</v>
      </c>
      <c r="AK28">
        <v>10</v>
      </c>
      <c r="AL28">
        <v>7</v>
      </c>
      <c r="AM28" s="2">
        <v>96.5</v>
      </c>
    </row>
    <row r="29" spans="1:39" x14ac:dyDescent="0.2">
      <c r="A29">
        <v>77</v>
      </c>
      <c r="B29" t="s">
        <v>22</v>
      </c>
      <c r="C29">
        <v>132.8125</v>
      </c>
      <c r="D29">
        <v>-8.0981036030000002</v>
      </c>
      <c r="E29">
        <v>128.90625</v>
      </c>
      <c r="F29">
        <v>-7.7681910939999996</v>
      </c>
      <c r="G29">
        <v>138.671875</v>
      </c>
      <c r="H29">
        <v>-12.48519359</v>
      </c>
      <c r="I29">
        <v>138.671875</v>
      </c>
      <c r="J29">
        <v>-10.76483657</v>
      </c>
      <c r="K29">
        <v>164.0625</v>
      </c>
      <c r="L29">
        <v>-5.8860824250775803</v>
      </c>
      <c r="M29">
        <v>160.15625</v>
      </c>
      <c r="N29">
        <v>-4.41875058368674</v>
      </c>
      <c r="O29">
        <f t="shared" si="3"/>
        <v>130.859375</v>
      </c>
      <c r="P29">
        <f t="shared" si="0"/>
        <v>-7.9331473485000004</v>
      </c>
      <c r="Q29">
        <f t="shared" si="4"/>
        <v>138.671875</v>
      </c>
      <c r="R29">
        <f t="shared" si="6"/>
        <v>-11.625015080000001</v>
      </c>
      <c r="S29">
        <f t="shared" si="1"/>
        <v>162.109375</v>
      </c>
      <c r="T29">
        <f t="shared" si="2"/>
        <v>-5.1524165043821597</v>
      </c>
      <c r="U29">
        <v>0.491784583</v>
      </c>
      <c r="V29">
        <v>50</v>
      </c>
      <c r="W29">
        <v>16</v>
      </c>
      <c r="X29">
        <v>3.6</v>
      </c>
      <c r="Y29">
        <v>53</v>
      </c>
      <c r="Z29">
        <v>11</v>
      </c>
      <c r="AA29">
        <v>28</v>
      </c>
      <c r="AB29">
        <v>14</v>
      </c>
      <c r="AC29" t="s">
        <v>27</v>
      </c>
      <c r="AD29">
        <v>10</v>
      </c>
      <c r="AE29">
        <v>2</v>
      </c>
      <c r="AF29">
        <v>7</v>
      </c>
      <c r="AG29">
        <v>10</v>
      </c>
      <c r="AH29">
        <v>8</v>
      </c>
      <c r="AI29">
        <v>8</v>
      </c>
      <c r="AJ29">
        <v>2</v>
      </c>
      <c r="AK29">
        <v>6</v>
      </c>
      <c r="AL29">
        <v>0</v>
      </c>
      <c r="AM29" s="2">
        <v>99.7</v>
      </c>
    </row>
    <row r="30" spans="1:39" x14ac:dyDescent="0.2">
      <c r="A30">
        <v>78</v>
      </c>
      <c r="B30" t="s">
        <v>22</v>
      </c>
      <c r="C30">
        <v>119.140625</v>
      </c>
      <c r="D30">
        <v>-4.3708343210000002</v>
      </c>
      <c r="E30">
        <v>117.1875</v>
      </c>
      <c r="F30">
        <v>-4.7245458319999996</v>
      </c>
      <c r="G30">
        <v>123.046875</v>
      </c>
      <c r="H30">
        <v>-4.8216801130000002</v>
      </c>
      <c r="I30">
        <v>125</v>
      </c>
      <c r="J30">
        <v>-2.0186242390000002</v>
      </c>
      <c r="K30">
        <v>187.5</v>
      </c>
      <c r="L30">
        <v>-1.53416261328795</v>
      </c>
      <c r="M30">
        <v>185.546875</v>
      </c>
      <c r="N30">
        <v>0.117984043788515</v>
      </c>
      <c r="O30">
        <f t="shared" si="3"/>
        <v>118.1640625</v>
      </c>
      <c r="P30">
        <f t="shared" si="0"/>
        <v>-4.5476900765000003</v>
      </c>
      <c r="Q30">
        <f t="shared" si="4"/>
        <v>124.0234375</v>
      </c>
      <c r="R30">
        <f t="shared" si="6"/>
        <v>-3.4201521760000002</v>
      </c>
      <c r="S30">
        <f t="shared" si="1"/>
        <v>186.5234375</v>
      </c>
      <c r="T30">
        <f t="shared" si="2"/>
        <v>-0.70808928474971755</v>
      </c>
      <c r="U30">
        <v>0.39406039999999998</v>
      </c>
      <c r="V30">
        <v>46</v>
      </c>
      <c r="W30">
        <v>20</v>
      </c>
      <c r="X30">
        <v>3.8</v>
      </c>
      <c r="Y30">
        <v>66</v>
      </c>
      <c r="Z30">
        <v>26</v>
      </c>
      <c r="AA30">
        <v>21</v>
      </c>
      <c r="AB30">
        <v>19</v>
      </c>
      <c r="AC30" t="s">
        <v>27</v>
      </c>
      <c r="AD30">
        <v>12</v>
      </c>
      <c r="AE30">
        <v>8</v>
      </c>
      <c r="AF30">
        <v>3</v>
      </c>
      <c r="AG30">
        <v>3</v>
      </c>
      <c r="AH30">
        <v>6</v>
      </c>
      <c r="AI30">
        <v>8</v>
      </c>
      <c r="AJ30">
        <v>8</v>
      </c>
      <c r="AK30">
        <v>11</v>
      </c>
      <c r="AL30">
        <v>7</v>
      </c>
      <c r="AM30" s="2">
        <v>99.5</v>
      </c>
    </row>
    <row r="31" spans="1:39" x14ac:dyDescent="0.2">
      <c r="A31">
        <v>80</v>
      </c>
      <c r="B31" t="s">
        <v>22</v>
      </c>
      <c r="C31">
        <v>119.140625</v>
      </c>
      <c r="D31">
        <v>0.13776450900000001</v>
      </c>
      <c r="E31">
        <v>115.234375</v>
      </c>
      <c r="F31">
        <v>0.21876042800000001</v>
      </c>
      <c r="G31">
        <v>121.09375</v>
      </c>
      <c r="H31">
        <v>-0.41739819299999997</v>
      </c>
      <c r="I31">
        <v>113.28125</v>
      </c>
      <c r="J31">
        <v>2.1021881100000002</v>
      </c>
      <c r="K31">
        <v>220.703125</v>
      </c>
      <c r="L31">
        <v>-9.4528105937599598</v>
      </c>
      <c r="M31">
        <v>218.75</v>
      </c>
      <c r="N31">
        <v>-5.7419522281197599</v>
      </c>
      <c r="O31">
        <f t="shared" si="3"/>
        <v>117.1875</v>
      </c>
      <c r="P31">
        <f t="shared" si="0"/>
        <v>0.17826246849999999</v>
      </c>
      <c r="Q31">
        <f t="shared" si="4"/>
        <v>117.1875</v>
      </c>
      <c r="R31">
        <f t="shared" si="6"/>
        <v>0.84239495850000012</v>
      </c>
      <c r="S31">
        <f t="shared" si="1"/>
        <v>219.7265625</v>
      </c>
      <c r="T31">
        <f t="shared" si="2"/>
        <v>-7.5973814109398603</v>
      </c>
      <c r="U31">
        <v>0.39009590900000002</v>
      </c>
      <c r="V31">
        <v>53</v>
      </c>
      <c r="W31">
        <v>29</v>
      </c>
      <c r="X31">
        <v>4</v>
      </c>
      <c r="Y31">
        <v>68</v>
      </c>
      <c r="Z31">
        <v>26</v>
      </c>
      <c r="AA31">
        <v>20</v>
      </c>
      <c r="AB31">
        <v>22</v>
      </c>
      <c r="AC31" t="s">
        <v>23</v>
      </c>
      <c r="AD31">
        <v>13</v>
      </c>
      <c r="AE31">
        <v>7</v>
      </c>
      <c r="AF31">
        <v>6</v>
      </c>
      <c r="AG31">
        <v>4</v>
      </c>
      <c r="AH31">
        <v>3</v>
      </c>
      <c r="AI31">
        <v>10</v>
      </c>
      <c r="AJ31">
        <v>7</v>
      </c>
      <c r="AK31">
        <v>12</v>
      </c>
      <c r="AL31">
        <v>6</v>
      </c>
      <c r="AM31" s="2">
        <v>96.1</v>
      </c>
    </row>
    <row r="32" spans="1:39" x14ac:dyDescent="0.2">
      <c r="A32">
        <v>84</v>
      </c>
      <c r="B32" t="s">
        <v>22</v>
      </c>
      <c r="C32">
        <v>138.671875</v>
      </c>
      <c r="D32">
        <v>-1.367973584</v>
      </c>
      <c r="E32">
        <v>138.671875</v>
      </c>
      <c r="F32">
        <v>-0.85672323399999994</v>
      </c>
      <c r="G32">
        <v>138.671875</v>
      </c>
      <c r="H32">
        <v>-2.4187533060000002</v>
      </c>
      <c r="I32">
        <v>138.671875</v>
      </c>
      <c r="J32">
        <v>-2.5592293509999999</v>
      </c>
      <c r="K32">
        <v>191.40625</v>
      </c>
      <c r="L32">
        <v>-4.7305333002172301</v>
      </c>
      <c r="M32">
        <v>175.78125</v>
      </c>
      <c r="N32">
        <v>-4.9128736777442699</v>
      </c>
      <c r="O32">
        <f t="shared" si="3"/>
        <v>138.671875</v>
      </c>
      <c r="P32">
        <f t="shared" si="0"/>
        <v>-1.112348409</v>
      </c>
      <c r="Q32">
        <f>AVERAGE(G32,I32)</f>
        <v>138.671875</v>
      </c>
      <c r="R32">
        <f t="shared" si="6"/>
        <v>-2.4889913285</v>
      </c>
      <c r="S32">
        <f t="shared" si="1"/>
        <v>183.59375</v>
      </c>
      <c r="T32">
        <f t="shared" si="2"/>
        <v>-4.8217034889807504</v>
      </c>
      <c r="U32">
        <v>0.49248043499999999</v>
      </c>
      <c r="V32">
        <v>45</v>
      </c>
      <c r="W32">
        <v>17</v>
      </c>
      <c r="X32">
        <v>3.5</v>
      </c>
      <c r="Y32">
        <v>68</v>
      </c>
      <c r="Z32">
        <v>34</v>
      </c>
      <c r="AA32">
        <v>20</v>
      </c>
      <c r="AB32">
        <v>14</v>
      </c>
      <c r="AC32" t="s">
        <v>27</v>
      </c>
      <c r="AD32">
        <v>8</v>
      </c>
      <c r="AE32">
        <v>10</v>
      </c>
      <c r="AF32">
        <v>10</v>
      </c>
      <c r="AG32">
        <v>5</v>
      </c>
      <c r="AH32">
        <v>7</v>
      </c>
      <c r="AI32">
        <v>6</v>
      </c>
      <c r="AJ32">
        <v>6</v>
      </c>
      <c r="AK32">
        <v>8</v>
      </c>
      <c r="AL32">
        <v>8</v>
      </c>
      <c r="AM32" s="2">
        <v>98.2</v>
      </c>
    </row>
    <row r="33" spans="1:39" x14ac:dyDescent="0.2">
      <c r="A33">
        <v>85</v>
      </c>
      <c r="B33" t="s">
        <v>22</v>
      </c>
      <c r="C33">
        <v>125</v>
      </c>
      <c r="D33">
        <v>-1.4628331320000001</v>
      </c>
      <c r="E33">
        <v>123.046875</v>
      </c>
      <c r="F33">
        <v>-1.1840466140000001</v>
      </c>
      <c r="G33">
        <v>138.671875</v>
      </c>
      <c r="H33">
        <v>-4.0150547259999998</v>
      </c>
      <c r="I33">
        <v>128.90625</v>
      </c>
      <c r="J33">
        <v>-3.986946933</v>
      </c>
      <c r="K33">
        <v>152.34375</v>
      </c>
      <c r="L33">
        <v>-4.8951841808060497</v>
      </c>
      <c r="M33">
        <v>154.296875</v>
      </c>
      <c r="N33">
        <v>-4.4986118246332198</v>
      </c>
      <c r="O33">
        <f t="shared" si="3"/>
        <v>124.0234375</v>
      </c>
      <c r="P33">
        <f t="shared" si="0"/>
        <v>-1.3234398730000001</v>
      </c>
      <c r="Q33">
        <f>AVERAGE(G33,I33)</f>
        <v>133.7890625</v>
      </c>
      <c r="R33">
        <f t="shared" si="6"/>
        <v>-4.0010008294999997</v>
      </c>
      <c r="S33">
        <f t="shared" si="1"/>
        <v>153.3203125</v>
      </c>
      <c r="T33">
        <f t="shared" si="2"/>
        <v>-4.6968980027196352</v>
      </c>
      <c r="U33">
        <v>0.35298346200000003</v>
      </c>
      <c r="V33">
        <v>52</v>
      </c>
      <c r="W33">
        <v>14</v>
      </c>
      <c r="X33">
        <v>3.42</v>
      </c>
      <c r="Y33">
        <v>66</v>
      </c>
      <c r="Z33">
        <v>31</v>
      </c>
      <c r="AA33">
        <v>18</v>
      </c>
      <c r="AB33">
        <v>17</v>
      </c>
      <c r="AC33" t="s">
        <v>27</v>
      </c>
      <c r="AD33">
        <v>8</v>
      </c>
      <c r="AE33">
        <v>5</v>
      </c>
      <c r="AF33">
        <v>7</v>
      </c>
      <c r="AG33">
        <v>6</v>
      </c>
      <c r="AH33">
        <v>4</v>
      </c>
      <c r="AI33">
        <v>8</v>
      </c>
      <c r="AJ33">
        <v>9</v>
      </c>
      <c r="AK33">
        <v>9</v>
      </c>
      <c r="AL33">
        <v>10</v>
      </c>
      <c r="AM33" s="2">
        <v>100</v>
      </c>
    </row>
    <row r="34" spans="1:39" x14ac:dyDescent="0.2">
      <c r="A34" t="s">
        <v>32</v>
      </c>
      <c r="B34" t="s">
        <v>33</v>
      </c>
      <c r="C34">
        <v>130.859375</v>
      </c>
      <c r="D34">
        <v>-3.7776114860000001</v>
      </c>
      <c r="E34">
        <v>101.5625</v>
      </c>
      <c r="F34">
        <v>-3.5744496479999999</v>
      </c>
      <c r="G34">
        <v>103.515625</v>
      </c>
      <c r="H34">
        <v>-5.8642235229999997</v>
      </c>
      <c r="I34">
        <v>103.515625</v>
      </c>
      <c r="J34">
        <v>-4.041449729</v>
      </c>
      <c r="K34">
        <v>181.640625</v>
      </c>
      <c r="L34">
        <v>-5.7224986806759199</v>
      </c>
      <c r="M34">
        <v>226.5625</v>
      </c>
      <c r="N34">
        <v>-3.3297134127871701</v>
      </c>
      <c r="O34">
        <f t="shared" si="3"/>
        <v>116.2109375</v>
      </c>
      <c r="P34">
        <f t="shared" si="0"/>
        <v>-3.6760305669999997</v>
      </c>
      <c r="Q34">
        <f t="shared" ref="Q34:Q53" si="7">AVERAGE(G34,I34)</f>
        <v>103.515625</v>
      </c>
      <c r="R34">
        <f t="shared" si="6"/>
        <v>-4.9528366259999999</v>
      </c>
      <c r="S34">
        <f t="shared" si="1"/>
        <v>204.1015625</v>
      </c>
      <c r="T34">
        <f t="shared" si="2"/>
        <v>-4.5261060467315453</v>
      </c>
      <c r="U34">
        <v>0.378560385</v>
      </c>
      <c r="V34">
        <v>47</v>
      </c>
      <c r="W34">
        <v>18</v>
      </c>
      <c r="X34">
        <v>1.7</v>
      </c>
      <c r="Y34">
        <v>92</v>
      </c>
      <c r="Z34">
        <v>42</v>
      </c>
      <c r="AA34">
        <v>28</v>
      </c>
      <c r="AB34">
        <v>22</v>
      </c>
      <c r="AC34" t="s">
        <v>23</v>
      </c>
      <c r="AD34">
        <v>12</v>
      </c>
      <c r="AE34">
        <v>10</v>
      </c>
      <c r="AF34">
        <v>9</v>
      </c>
      <c r="AG34">
        <v>8</v>
      </c>
      <c r="AH34">
        <v>8</v>
      </c>
      <c r="AI34">
        <v>10</v>
      </c>
      <c r="AJ34">
        <v>12</v>
      </c>
      <c r="AK34">
        <v>12</v>
      </c>
      <c r="AL34">
        <v>11</v>
      </c>
      <c r="AM34" s="2">
        <v>99.4</v>
      </c>
    </row>
    <row r="35" spans="1:39" x14ac:dyDescent="0.2">
      <c r="A35">
        <v>13</v>
      </c>
      <c r="B35" t="s">
        <v>33</v>
      </c>
      <c r="C35">
        <v>123.046875</v>
      </c>
      <c r="D35">
        <v>-1.2599775660000001</v>
      </c>
      <c r="E35">
        <v>125</v>
      </c>
      <c r="F35">
        <v>-1.225650457</v>
      </c>
      <c r="G35">
        <v>126.953125</v>
      </c>
      <c r="H35">
        <v>-3.5498448000000002E-2</v>
      </c>
      <c r="I35">
        <v>125</v>
      </c>
      <c r="J35">
        <v>-0.18104130299999999</v>
      </c>
      <c r="K35">
        <v>205.078125</v>
      </c>
      <c r="L35">
        <v>-1.04352571130901</v>
      </c>
      <c r="M35">
        <v>150.390625</v>
      </c>
      <c r="N35">
        <v>-0.82963484960319001</v>
      </c>
      <c r="O35">
        <f t="shared" si="3"/>
        <v>124.0234375</v>
      </c>
      <c r="P35">
        <f t="shared" si="0"/>
        <v>-1.2428140115000001</v>
      </c>
      <c r="Q35">
        <f t="shared" si="7"/>
        <v>125.9765625</v>
      </c>
      <c r="R35">
        <f t="shared" si="6"/>
        <v>-0.1082698755</v>
      </c>
      <c r="S35">
        <f t="shared" si="1"/>
        <v>177.734375</v>
      </c>
      <c r="T35">
        <f t="shared" si="2"/>
        <v>-0.93658028045609998</v>
      </c>
      <c r="U35">
        <v>0.46721875000000002</v>
      </c>
      <c r="V35">
        <v>47</v>
      </c>
      <c r="W35">
        <v>15</v>
      </c>
      <c r="X35">
        <v>3.46</v>
      </c>
      <c r="Y35">
        <v>95</v>
      </c>
      <c r="Z35">
        <v>41</v>
      </c>
      <c r="AA35">
        <v>22</v>
      </c>
      <c r="AB35">
        <v>32</v>
      </c>
      <c r="AC35" t="s">
        <v>25</v>
      </c>
      <c r="AD35">
        <v>7</v>
      </c>
      <c r="AE35">
        <v>8</v>
      </c>
      <c r="AF35">
        <v>9</v>
      </c>
      <c r="AG35">
        <v>7</v>
      </c>
      <c r="AH35">
        <v>8</v>
      </c>
      <c r="AI35">
        <v>16</v>
      </c>
      <c r="AJ35">
        <v>9</v>
      </c>
      <c r="AK35">
        <v>16</v>
      </c>
      <c r="AL35">
        <v>15</v>
      </c>
      <c r="AM35" s="2">
        <v>100</v>
      </c>
    </row>
    <row r="36" spans="1:39" x14ac:dyDescent="0.2">
      <c r="A36">
        <v>15</v>
      </c>
      <c r="B36" t="s">
        <v>33</v>
      </c>
      <c r="C36">
        <v>132.8125</v>
      </c>
      <c r="D36">
        <v>-4.4557848729999998</v>
      </c>
      <c r="E36">
        <v>132.8125</v>
      </c>
      <c r="F36">
        <v>-3.6619042290000001</v>
      </c>
      <c r="G36">
        <v>130.859375</v>
      </c>
      <c r="H36">
        <v>-5.949841309</v>
      </c>
      <c r="I36">
        <v>130.859375</v>
      </c>
      <c r="J36">
        <v>-5.8042306999999997</v>
      </c>
      <c r="K36">
        <v>228.515625</v>
      </c>
      <c r="L36">
        <v>-3.8676747359528401</v>
      </c>
      <c r="M36">
        <v>224.609375</v>
      </c>
      <c r="N36">
        <v>-3.6382161866254199</v>
      </c>
      <c r="O36">
        <f t="shared" si="3"/>
        <v>132.8125</v>
      </c>
      <c r="P36">
        <f t="shared" si="0"/>
        <v>-4.058844551</v>
      </c>
      <c r="Q36">
        <f t="shared" si="7"/>
        <v>130.859375</v>
      </c>
      <c r="R36">
        <f t="shared" si="6"/>
        <v>-5.8770360044999999</v>
      </c>
      <c r="S36">
        <f t="shared" si="1"/>
        <v>226.5625</v>
      </c>
      <c r="T36">
        <f t="shared" si="2"/>
        <v>-3.75294546128913</v>
      </c>
      <c r="U36">
        <v>0.44211119999999998</v>
      </c>
      <c r="V36">
        <v>47</v>
      </c>
      <c r="W36">
        <v>20</v>
      </c>
      <c r="X36">
        <v>3.5</v>
      </c>
      <c r="Y36">
        <v>95</v>
      </c>
      <c r="Z36">
        <v>42</v>
      </c>
      <c r="AA36">
        <v>29</v>
      </c>
      <c r="AB36">
        <v>24</v>
      </c>
      <c r="AC36" t="s">
        <v>25</v>
      </c>
      <c r="AD36">
        <v>12</v>
      </c>
      <c r="AE36">
        <v>9</v>
      </c>
      <c r="AF36">
        <v>9</v>
      </c>
      <c r="AG36">
        <v>9</v>
      </c>
      <c r="AH36">
        <v>8</v>
      </c>
      <c r="AI36">
        <v>12</v>
      </c>
      <c r="AJ36">
        <v>12</v>
      </c>
      <c r="AK36">
        <v>12</v>
      </c>
      <c r="AL36">
        <v>12</v>
      </c>
      <c r="AM36" s="2">
        <v>99.7</v>
      </c>
    </row>
    <row r="37" spans="1:39" x14ac:dyDescent="0.2">
      <c r="A37">
        <v>18</v>
      </c>
      <c r="B37" t="s">
        <v>33</v>
      </c>
      <c r="C37">
        <v>128.90625</v>
      </c>
      <c r="D37">
        <v>-1.6767249930000001</v>
      </c>
      <c r="E37">
        <v>113.28125</v>
      </c>
      <c r="F37">
        <v>-2.275771711</v>
      </c>
      <c r="G37">
        <v>125</v>
      </c>
      <c r="H37">
        <v>-1.561459425</v>
      </c>
      <c r="I37">
        <v>121.09375</v>
      </c>
      <c r="J37">
        <v>-2.7955411589999999</v>
      </c>
      <c r="K37">
        <v>189.453125</v>
      </c>
      <c r="L37">
        <v>-2.5998835375822198</v>
      </c>
      <c r="M37">
        <v>212.890625</v>
      </c>
      <c r="N37">
        <v>-3.4590565904432902</v>
      </c>
      <c r="O37">
        <f t="shared" si="3"/>
        <v>121.09375</v>
      </c>
      <c r="P37">
        <f t="shared" si="0"/>
        <v>-1.976248352</v>
      </c>
      <c r="Q37">
        <f t="shared" si="7"/>
        <v>123.046875</v>
      </c>
      <c r="R37">
        <f t="shared" si="6"/>
        <v>-2.1785002919999998</v>
      </c>
      <c r="S37">
        <f t="shared" si="1"/>
        <v>201.171875</v>
      </c>
      <c r="T37">
        <f t="shared" si="2"/>
        <v>-3.029470064012755</v>
      </c>
      <c r="U37">
        <v>0.42289359999999998</v>
      </c>
      <c r="V37">
        <v>56</v>
      </c>
      <c r="W37">
        <v>30</v>
      </c>
      <c r="X37">
        <v>3.75</v>
      </c>
      <c r="Y37">
        <v>99</v>
      </c>
      <c r="Z37">
        <v>48</v>
      </c>
      <c r="AA37">
        <v>19</v>
      </c>
      <c r="AB37">
        <v>32</v>
      </c>
      <c r="AC37" t="s">
        <v>25</v>
      </c>
      <c r="AD37">
        <v>9</v>
      </c>
      <c r="AE37">
        <v>12</v>
      </c>
      <c r="AF37">
        <v>7</v>
      </c>
      <c r="AG37">
        <v>5</v>
      </c>
      <c r="AH37">
        <v>5</v>
      </c>
      <c r="AI37">
        <v>16</v>
      </c>
      <c r="AJ37">
        <v>14</v>
      </c>
      <c r="AK37">
        <v>16</v>
      </c>
      <c r="AL37">
        <v>15</v>
      </c>
      <c r="AM37" s="2">
        <v>99.8</v>
      </c>
    </row>
    <row r="38" spans="1:39" x14ac:dyDescent="0.2">
      <c r="A38">
        <v>19</v>
      </c>
      <c r="B38" t="s">
        <v>33</v>
      </c>
      <c r="C38">
        <v>103.515625</v>
      </c>
      <c r="D38">
        <v>-2.7815565E-2</v>
      </c>
      <c r="E38">
        <v>105.46875</v>
      </c>
      <c r="F38">
        <v>-0.88148003699999999</v>
      </c>
      <c r="G38">
        <v>121.09375</v>
      </c>
      <c r="H38">
        <v>-1.6878242489999999</v>
      </c>
      <c r="I38">
        <v>117.1875</v>
      </c>
      <c r="J38">
        <v>-2.1934881659999999</v>
      </c>
      <c r="K38">
        <v>156.25</v>
      </c>
      <c r="L38">
        <v>-3.0547779515337399</v>
      </c>
      <c r="M38">
        <v>156.25</v>
      </c>
      <c r="N38">
        <v>-2.0033197693068598</v>
      </c>
      <c r="O38">
        <f t="shared" si="3"/>
        <v>104.4921875</v>
      </c>
      <c r="P38">
        <f t="shared" si="0"/>
        <v>-0.45464780100000002</v>
      </c>
      <c r="Q38">
        <f t="shared" si="7"/>
        <v>119.140625</v>
      </c>
      <c r="R38">
        <f t="shared" si="6"/>
        <v>-1.9406562075</v>
      </c>
      <c r="S38">
        <f t="shared" si="1"/>
        <v>156.25</v>
      </c>
      <c r="T38">
        <f t="shared" si="2"/>
        <v>-2.5290488604202999</v>
      </c>
      <c r="U38">
        <v>0.39804208299999999</v>
      </c>
      <c r="V38">
        <v>55</v>
      </c>
      <c r="W38">
        <v>24</v>
      </c>
      <c r="X38">
        <v>3.7</v>
      </c>
      <c r="Y38">
        <v>89</v>
      </c>
      <c r="Z38">
        <v>35</v>
      </c>
      <c r="AA38">
        <v>30</v>
      </c>
      <c r="AB38">
        <v>24</v>
      </c>
      <c r="AC38" t="s">
        <v>25</v>
      </c>
      <c r="AD38">
        <v>16</v>
      </c>
      <c r="AE38">
        <v>12</v>
      </c>
      <c r="AF38">
        <v>9</v>
      </c>
      <c r="AG38">
        <v>9</v>
      </c>
      <c r="AH38">
        <v>5</v>
      </c>
      <c r="AI38">
        <v>10</v>
      </c>
      <c r="AJ38">
        <v>4</v>
      </c>
      <c r="AK38">
        <v>14</v>
      </c>
      <c r="AL38">
        <v>10</v>
      </c>
      <c r="AM38" s="2">
        <v>99.8</v>
      </c>
    </row>
    <row r="39" spans="1:39" x14ac:dyDescent="0.2">
      <c r="A39">
        <v>21</v>
      </c>
      <c r="B39" t="s">
        <v>33</v>
      </c>
      <c r="C39">
        <v>109.375</v>
      </c>
      <c r="D39">
        <v>-5.8632059099999996</v>
      </c>
      <c r="E39">
        <v>109.375</v>
      </c>
      <c r="F39">
        <v>-5.5537323949999999</v>
      </c>
      <c r="G39">
        <v>136.71875</v>
      </c>
      <c r="H39">
        <v>-7.3938242589999996</v>
      </c>
      <c r="I39">
        <v>111.328125</v>
      </c>
      <c r="J39">
        <v>-8.0003153480000009</v>
      </c>
      <c r="K39">
        <v>181.640625</v>
      </c>
      <c r="L39">
        <v>-9.3307664394378698</v>
      </c>
      <c r="M39">
        <v>187.5</v>
      </c>
      <c r="N39">
        <v>-8.0846424556913803</v>
      </c>
      <c r="O39">
        <f t="shared" si="3"/>
        <v>109.375</v>
      </c>
      <c r="P39">
        <f t="shared" si="0"/>
        <v>-5.7084691524999993</v>
      </c>
      <c r="Q39">
        <f t="shared" si="7"/>
        <v>124.0234375</v>
      </c>
      <c r="R39">
        <f t="shared" si="6"/>
        <v>-7.6970698034999998</v>
      </c>
      <c r="S39">
        <f t="shared" si="1"/>
        <v>184.5703125</v>
      </c>
      <c r="T39">
        <f t="shared" si="2"/>
        <v>-8.707704447564625</v>
      </c>
      <c r="U39">
        <v>0.37963333300000002</v>
      </c>
      <c r="V39">
        <v>53</v>
      </c>
      <c r="W39">
        <v>52</v>
      </c>
      <c r="X39">
        <v>3.8</v>
      </c>
      <c r="Y39">
        <v>97</v>
      </c>
      <c r="Z39">
        <v>44</v>
      </c>
      <c r="AA39">
        <v>31</v>
      </c>
      <c r="AB39">
        <v>22</v>
      </c>
      <c r="AC39" t="s">
        <v>23</v>
      </c>
      <c r="AD39">
        <v>15</v>
      </c>
      <c r="AE39">
        <v>10</v>
      </c>
      <c r="AF39">
        <v>9</v>
      </c>
      <c r="AG39">
        <v>8</v>
      </c>
      <c r="AH39">
        <v>8</v>
      </c>
      <c r="AI39">
        <v>7</v>
      </c>
      <c r="AJ39">
        <v>12</v>
      </c>
      <c r="AK39">
        <v>15</v>
      </c>
      <c r="AL39">
        <v>13</v>
      </c>
      <c r="AM39" s="2">
        <v>99.4</v>
      </c>
    </row>
    <row r="40" spans="1:39" x14ac:dyDescent="0.2">
      <c r="A40">
        <v>24</v>
      </c>
      <c r="B40" t="s">
        <v>33</v>
      </c>
      <c r="C40">
        <v>138.671875</v>
      </c>
      <c r="D40">
        <v>-1.701371215</v>
      </c>
      <c r="E40">
        <v>138.671875</v>
      </c>
      <c r="F40">
        <v>-2.1425006039999999</v>
      </c>
      <c r="G40">
        <v>136.71875</v>
      </c>
      <c r="H40">
        <v>-2.7174616970000001</v>
      </c>
      <c r="I40">
        <v>134.765625</v>
      </c>
      <c r="J40">
        <v>-1.927587642</v>
      </c>
      <c r="K40">
        <v>216.796875</v>
      </c>
      <c r="L40">
        <v>-2.27197619748899</v>
      </c>
      <c r="M40">
        <v>199.21875</v>
      </c>
      <c r="N40">
        <v>-2.1073549090001098</v>
      </c>
      <c r="O40">
        <f t="shared" si="3"/>
        <v>138.671875</v>
      </c>
      <c r="P40">
        <f t="shared" si="0"/>
        <v>-1.9219359094999999</v>
      </c>
      <c r="Q40">
        <f t="shared" si="7"/>
        <v>135.7421875</v>
      </c>
      <c r="R40">
        <f t="shared" si="6"/>
        <v>-2.3225246694999999</v>
      </c>
      <c r="S40">
        <f t="shared" si="1"/>
        <v>208.0078125</v>
      </c>
      <c r="T40">
        <f t="shared" si="2"/>
        <v>-2.1896655532445499</v>
      </c>
      <c r="U40">
        <v>0.38210250000000001</v>
      </c>
      <c r="V40">
        <v>58</v>
      </c>
      <c r="W40">
        <v>41</v>
      </c>
      <c r="X40">
        <v>3.5</v>
      </c>
      <c r="Y40">
        <v>99</v>
      </c>
      <c r="Z40">
        <v>48</v>
      </c>
      <c r="AA40">
        <v>31</v>
      </c>
      <c r="AB40">
        <v>20</v>
      </c>
      <c r="AC40" t="s">
        <v>27</v>
      </c>
      <c r="AD40">
        <v>16</v>
      </c>
      <c r="AE40">
        <v>12</v>
      </c>
      <c r="AF40">
        <v>11</v>
      </c>
      <c r="AG40">
        <v>8</v>
      </c>
      <c r="AH40">
        <v>7</v>
      </c>
      <c r="AI40">
        <v>8</v>
      </c>
      <c r="AJ40">
        <v>12</v>
      </c>
      <c r="AK40">
        <v>12</v>
      </c>
      <c r="AL40">
        <v>13</v>
      </c>
      <c r="AM40" s="2">
        <v>95.2</v>
      </c>
    </row>
    <row r="41" spans="1:39" x14ac:dyDescent="0.2">
      <c r="A41">
        <v>26</v>
      </c>
      <c r="B41" t="s">
        <v>33</v>
      </c>
      <c r="C41">
        <v>121.09375</v>
      </c>
      <c r="D41">
        <v>-5.8981566430000001</v>
      </c>
      <c r="E41">
        <v>123.046875</v>
      </c>
      <c r="F41">
        <v>-4.4118976590000001</v>
      </c>
      <c r="G41">
        <v>125</v>
      </c>
      <c r="H41">
        <v>-6.8484875909999996</v>
      </c>
      <c r="I41">
        <v>126.953125</v>
      </c>
      <c r="J41">
        <v>-6.056304581</v>
      </c>
      <c r="K41">
        <v>181.640625</v>
      </c>
      <c r="L41">
        <v>-4.6278543938165404</v>
      </c>
      <c r="M41">
        <v>179.6875</v>
      </c>
      <c r="N41">
        <v>-3.6159467656036899</v>
      </c>
      <c r="O41">
        <f>AVERAGE(C41,E41)</f>
        <v>122.0703125</v>
      </c>
      <c r="P41">
        <f t="shared" si="0"/>
        <v>-5.1550271510000005</v>
      </c>
      <c r="Q41">
        <f t="shared" si="7"/>
        <v>125.9765625</v>
      </c>
      <c r="R41">
        <f>AVERAGE(H41,J41)</f>
        <v>-6.4523960860000003</v>
      </c>
      <c r="S41">
        <f t="shared" si="1"/>
        <v>180.6640625</v>
      </c>
      <c r="T41">
        <f t="shared" si="2"/>
        <v>-4.1219005797101147</v>
      </c>
      <c r="U41">
        <v>0.37064249999999999</v>
      </c>
      <c r="V41">
        <v>50</v>
      </c>
      <c r="W41">
        <v>14</v>
      </c>
      <c r="X41">
        <v>4</v>
      </c>
      <c r="Y41">
        <v>91</v>
      </c>
      <c r="Z41">
        <v>36</v>
      </c>
      <c r="AA41">
        <v>30</v>
      </c>
      <c r="AB41">
        <v>25</v>
      </c>
      <c r="AC41" t="s">
        <v>25</v>
      </c>
      <c r="AD41">
        <v>16</v>
      </c>
      <c r="AE41">
        <v>12</v>
      </c>
      <c r="AF41">
        <v>9</v>
      </c>
      <c r="AG41">
        <v>8</v>
      </c>
      <c r="AH41">
        <v>6</v>
      </c>
      <c r="AI41">
        <v>9</v>
      </c>
      <c r="AJ41">
        <v>7</v>
      </c>
      <c r="AK41">
        <v>16</v>
      </c>
      <c r="AL41">
        <v>8</v>
      </c>
      <c r="AM41" s="2">
        <v>99.7</v>
      </c>
    </row>
    <row r="42" spans="1:39" x14ac:dyDescent="0.2">
      <c r="A42">
        <v>30</v>
      </c>
      <c r="B42" t="s">
        <v>33</v>
      </c>
      <c r="C42">
        <v>97.65625</v>
      </c>
      <c r="D42">
        <v>-0.14358283899999999</v>
      </c>
      <c r="E42">
        <v>80.078125</v>
      </c>
      <c r="F42">
        <v>-0.10189044999999999</v>
      </c>
      <c r="G42">
        <v>107.421875</v>
      </c>
      <c r="H42">
        <v>-0.494442351</v>
      </c>
      <c r="I42">
        <v>109.375</v>
      </c>
      <c r="J42">
        <v>-0.56922941000000005</v>
      </c>
      <c r="K42">
        <v>199.21875</v>
      </c>
      <c r="L42">
        <v>-1.8993397060775301</v>
      </c>
      <c r="M42">
        <v>232.421875</v>
      </c>
      <c r="N42">
        <v>-2.2402111631294801</v>
      </c>
      <c r="O42">
        <f>AVERAGE(C42,E42)</f>
        <v>88.8671875</v>
      </c>
      <c r="P42">
        <f t="shared" si="0"/>
        <v>-0.12273664449999999</v>
      </c>
      <c r="Q42">
        <f t="shared" si="7"/>
        <v>108.3984375</v>
      </c>
      <c r="R42">
        <f>AVERAGE(H42,J42)</f>
        <v>-0.53183588050000008</v>
      </c>
      <c r="S42">
        <f t="shared" si="1"/>
        <v>215.8203125</v>
      </c>
      <c r="T42">
        <f>AVERAGE(L42,N42)</f>
        <v>-2.0697754346035051</v>
      </c>
      <c r="U42">
        <v>0.32019291700000002</v>
      </c>
      <c r="V42">
        <v>41</v>
      </c>
      <c r="W42">
        <v>22</v>
      </c>
      <c r="X42">
        <v>3</v>
      </c>
      <c r="Y42">
        <v>95</v>
      </c>
      <c r="Z42">
        <v>40</v>
      </c>
      <c r="AA42">
        <v>34</v>
      </c>
      <c r="AB42">
        <v>21</v>
      </c>
      <c r="AC42" t="s">
        <v>27</v>
      </c>
      <c r="AD42">
        <v>14</v>
      </c>
      <c r="AE42">
        <v>8</v>
      </c>
      <c r="AF42">
        <v>11</v>
      </c>
      <c r="AG42">
        <v>12</v>
      </c>
      <c r="AH42">
        <v>8</v>
      </c>
      <c r="AI42">
        <v>10</v>
      </c>
      <c r="AJ42">
        <v>6</v>
      </c>
      <c r="AK42">
        <v>11</v>
      </c>
      <c r="AL42">
        <v>15</v>
      </c>
      <c r="AM42" s="2">
        <v>99.5</v>
      </c>
    </row>
    <row r="43" spans="1:39" x14ac:dyDescent="0.2">
      <c r="A43">
        <v>52</v>
      </c>
      <c r="B43" t="s">
        <v>33</v>
      </c>
      <c r="C43">
        <v>103.515625</v>
      </c>
      <c r="D43">
        <v>0.73326376599999998</v>
      </c>
      <c r="E43">
        <v>103.515625</v>
      </c>
      <c r="F43">
        <v>0.217841908</v>
      </c>
      <c r="G43">
        <v>111.328125</v>
      </c>
      <c r="H43">
        <v>1.3661773340000001</v>
      </c>
      <c r="I43">
        <v>113.28125</v>
      </c>
      <c r="J43">
        <v>0.350707879</v>
      </c>
      <c r="K43">
        <v>195.3125</v>
      </c>
      <c r="L43">
        <v>-1.73041184433595</v>
      </c>
      <c r="M43">
        <v>195.3125</v>
      </c>
      <c r="N43">
        <v>-1.92235105348406</v>
      </c>
      <c r="O43">
        <f t="shared" ref="O43:O58" si="8">AVERAGE(C43,E43)</f>
        <v>103.515625</v>
      </c>
      <c r="P43">
        <f t="shared" si="0"/>
        <v>0.47555283700000001</v>
      </c>
      <c r="Q43">
        <f t="shared" si="7"/>
        <v>112.3046875</v>
      </c>
      <c r="R43">
        <f t="shared" ref="R43:R56" si="9">AVERAGE(H43,J43)</f>
        <v>0.85844260650000004</v>
      </c>
      <c r="S43">
        <f>AVERAGE(K43,M43)</f>
        <v>195.3125</v>
      </c>
      <c r="T43">
        <f t="shared" si="2"/>
        <v>-1.826381448910005</v>
      </c>
      <c r="U43">
        <v>0.38657846200000001</v>
      </c>
      <c r="V43">
        <v>56</v>
      </c>
      <c r="W43">
        <v>29</v>
      </c>
      <c r="X43">
        <v>3.77</v>
      </c>
      <c r="Y43">
        <v>87</v>
      </c>
      <c r="Z43">
        <v>37</v>
      </c>
      <c r="AA43">
        <v>25</v>
      </c>
      <c r="AB43">
        <v>25</v>
      </c>
      <c r="AC43" t="s">
        <v>25</v>
      </c>
      <c r="AD43">
        <v>14</v>
      </c>
      <c r="AE43">
        <v>8</v>
      </c>
      <c r="AF43">
        <v>8</v>
      </c>
      <c r="AG43">
        <v>6</v>
      </c>
      <c r="AH43">
        <v>5</v>
      </c>
      <c r="AI43">
        <v>12</v>
      </c>
      <c r="AJ43">
        <v>8</v>
      </c>
      <c r="AK43">
        <v>13</v>
      </c>
      <c r="AL43">
        <v>13</v>
      </c>
      <c r="AM43" s="2">
        <v>100</v>
      </c>
    </row>
    <row r="44" spans="1:39" x14ac:dyDescent="0.2">
      <c r="A44">
        <v>53</v>
      </c>
      <c r="B44" t="s">
        <v>33</v>
      </c>
      <c r="C44">
        <v>111.328125</v>
      </c>
      <c r="D44">
        <v>-0.74979277700000002</v>
      </c>
      <c r="E44">
        <v>113.28125</v>
      </c>
      <c r="F44">
        <v>-0.62082300300000004</v>
      </c>
      <c r="G44">
        <v>119.140625</v>
      </c>
      <c r="H44">
        <v>-2.5293746220000002</v>
      </c>
      <c r="I44">
        <v>115.234375</v>
      </c>
      <c r="J44">
        <v>-2.8648182100000001</v>
      </c>
      <c r="K44">
        <v>207.03125</v>
      </c>
      <c r="L44">
        <v>-5.5291892508031903</v>
      </c>
      <c r="M44">
        <v>205.078125</v>
      </c>
      <c r="N44">
        <v>-5.5715613856780797</v>
      </c>
      <c r="O44">
        <f t="shared" si="8"/>
        <v>112.3046875</v>
      </c>
      <c r="P44">
        <f t="shared" si="0"/>
        <v>-0.68530789000000003</v>
      </c>
      <c r="Q44">
        <f t="shared" si="7"/>
        <v>117.1875</v>
      </c>
      <c r="R44">
        <f t="shared" si="9"/>
        <v>-2.6970964159999999</v>
      </c>
      <c r="S44">
        <f t="shared" si="1"/>
        <v>206.0546875</v>
      </c>
      <c r="T44">
        <f t="shared" si="2"/>
        <v>-5.5503753182406346</v>
      </c>
      <c r="U44">
        <v>0.37190192300000002</v>
      </c>
      <c r="V44">
        <v>54</v>
      </c>
      <c r="W44">
        <v>27</v>
      </c>
      <c r="X44">
        <v>3.8</v>
      </c>
      <c r="Y44">
        <v>92</v>
      </c>
      <c r="Z44">
        <v>47</v>
      </c>
      <c r="AA44">
        <v>26</v>
      </c>
      <c r="AB44">
        <v>19</v>
      </c>
      <c r="AC44" t="s">
        <v>27</v>
      </c>
      <c r="AD44">
        <v>15</v>
      </c>
      <c r="AE44">
        <v>12</v>
      </c>
      <c r="AF44">
        <v>12</v>
      </c>
      <c r="AG44">
        <v>7</v>
      </c>
      <c r="AH44">
        <v>4</v>
      </c>
      <c r="AI44">
        <v>6</v>
      </c>
      <c r="AJ44">
        <v>8</v>
      </c>
      <c r="AK44">
        <v>13</v>
      </c>
      <c r="AL44">
        <v>15</v>
      </c>
      <c r="AM44" s="2">
        <v>99.8</v>
      </c>
    </row>
    <row r="45" spans="1:39" x14ac:dyDescent="0.2">
      <c r="A45">
        <v>54</v>
      </c>
      <c r="B45" t="s">
        <v>33</v>
      </c>
      <c r="C45">
        <v>138.671875</v>
      </c>
      <c r="D45">
        <v>4.7859038999999999E-2</v>
      </c>
      <c r="E45">
        <v>138.671875</v>
      </c>
      <c r="F45">
        <v>0.14830381400000001</v>
      </c>
      <c r="G45">
        <v>138.671875</v>
      </c>
      <c r="H45">
        <v>-0.61682462100000002</v>
      </c>
      <c r="I45">
        <v>138.671875</v>
      </c>
      <c r="J45">
        <v>-0.50837426900000005</v>
      </c>
      <c r="K45">
        <v>230.46875</v>
      </c>
      <c r="L45">
        <v>-1.8845355291744299</v>
      </c>
      <c r="M45">
        <v>228.515625</v>
      </c>
      <c r="N45">
        <v>-2.80232547363841</v>
      </c>
      <c r="O45">
        <f t="shared" si="8"/>
        <v>138.671875</v>
      </c>
      <c r="P45">
        <f t="shared" si="0"/>
        <v>9.8081426499999999E-2</v>
      </c>
      <c r="Q45">
        <f t="shared" si="7"/>
        <v>138.671875</v>
      </c>
      <c r="R45">
        <f t="shared" si="9"/>
        <v>-0.56259944500000003</v>
      </c>
      <c r="S45">
        <f t="shared" si="1"/>
        <v>229.4921875</v>
      </c>
      <c r="T45">
        <f t="shared" si="2"/>
        <v>-2.3434305014064201</v>
      </c>
      <c r="U45">
        <v>0.50021199999999999</v>
      </c>
      <c r="V45">
        <v>48</v>
      </c>
      <c r="W45">
        <v>20</v>
      </c>
      <c r="X45">
        <v>3.2</v>
      </c>
      <c r="Y45">
        <v>85</v>
      </c>
      <c r="Z45">
        <v>16</v>
      </c>
      <c r="AA45">
        <v>39</v>
      </c>
      <c r="AB45">
        <v>30</v>
      </c>
      <c r="AC45" t="s">
        <v>25</v>
      </c>
      <c r="AD45">
        <v>16</v>
      </c>
      <c r="AE45">
        <v>5</v>
      </c>
      <c r="AF45">
        <v>5</v>
      </c>
      <c r="AG45">
        <v>12</v>
      </c>
      <c r="AH45">
        <v>11</v>
      </c>
      <c r="AI45">
        <v>14</v>
      </c>
      <c r="AJ45">
        <v>0</v>
      </c>
      <c r="AK45">
        <v>16</v>
      </c>
      <c r="AL45">
        <v>6</v>
      </c>
      <c r="AM45" s="2">
        <v>99.7</v>
      </c>
    </row>
    <row r="46" spans="1:39" x14ac:dyDescent="0.2">
      <c r="A46">
        <v>57</v>
      </c>
      <c r="B46" t="s">
        <v>33</v>
      </c>
      <c r="C46">
        <v>111.328125</v>
      </c>
      <c r="D46">
        <v>-3.289557308</v>
      </c>
      <c r="E46">
        <v>113.28125</v>
      </c>
      <c r="F46">
        <v>-3.336286549</v>
      </c>
      <c r="G46">
        <v>119.140625</v>
      </c>
      <c r="H46">
        <v>-3.1188169330000002</v>
      </c>
      <c r="I46">
        <v>121.09375</v>
      </c>
      <c r="J46">
        <v>-2.8466248240000001</v>
      </c>
      <c r="K46">
        <v>181.640625</v>
      </c>
      <c r="L46">
        <v>-2.0788227439470401</v>
      </c>
      <c r="M46">
        <v>173.828125</v>
      </c>
      <c r="N46">
        <v>-3.2565250811341802</v>
      </c>
      <c r="O46">
        <f t="shared" si="8"/>
        <v>112.3046875</v>
      </c>
      <c r="P46">
        <f t="shared" si="0"/>
        <v>-3.3129219284999998</v>
      </c>
      <c r="Q46">
        <f t="shared" si="7"/>
        <v>120.1171875</v>
      </c>
      <c r="R46">
        <f t="shared" si="9"/>
        <v>-2.9827208785000003</v>
      </c>
      <c r="S46">
        <f t="shared" si="1"/>
        <v>177.734375</v>
      </c>
      <c r="T46">
        <f t="shared" si="2"/>
        <v>-2.6676739125406099</v>
      </c>
      <c r="U46">
        <v>0.35781947400000003</v>
      </c>
      <c r="V46">
        <v>50</v>
      </c>
      <c r="W46">
        <v>15</v>
      </c>
      <c r="X46">
        <v>3.5</v>
      </c>
      <c r="Y46">
        <v>91</v>
      </c>
      <c r="Z46">
        <v>30</v>
      </c>
      <c r="AA46">
        <v>39</v>
      </c>
      <c r="AB46">
        <v>22</v>
      </c>
      <c r="AC46" t="s">
        <v>23</v>
      </c>
      <c r="AD46">
        <v>15</v>
      </c>
      <c r="AE46">
        <v>12</v>
      </c>
      <c r="AF46">
        <v>9</v>
      </c>
      <c r="AG46">
        <v>12</v>
      </c>
      <c r="AH46">
        <v>12</v>
      </c>
      <c r="AI46">
        <v>8</v>
      </c>
      <c r="AJ46">
        <v>0</v>
      </c>
      <c r="AK46">
        <v>14</v>
      </c>
      <c r="AL46">
        <v>9</v>
      </c>
      <c r="AM46" s="2">
        <v>99</v>
      </c>
    </row>
    <row r="47" spans="1:39" x14ac:dyDescent="0.2">
      <c r="A47">
        <v>59</v>
      </c>
      <c r="B47" t="s">
        <v>33</v>
      </c>
      <c r="C47">
        <v>121.09375</v>
      </c>
      <c r="D47">
        <v>0.96368640900000002</v>
      </c>
      <c r="E47">
        <v>121.09375</v>
      </c>
      <c r="F47">
        <v>1.1420034109999999</v>
      </c>
      <c r="G47">
        <v>80.078125</v>
      </c>
      <c r="H47">
        <v>0.49023014199999998</v>
      </c>
      <c r="I47">
        <v>80.078125</v>
      </c>
      <c r="J47">
        <v>4.5873956E-2</v>
      </c>
      <c r="K47">
        <v>212.890625</v>
      </c>
      <c r="L47">
        <v>-4.9078787539069797</v>
      </c>
      <c r="M47">
        <v>214.84375</v>
      </c>
      <c r="N47">
        <v>-5.4148165123439496</v>
      </c>
      <c r="O47">
        <f t="shared" si="8"/>
        <v>121.09375</v>
      </c>
      <c r="P47">
        <f t="shared" si="0"/>
        <v>1.0528449099999999</v>
      </c>
      <c r="Q47">
        <f t="shared" si="7"/>
        <v>80.078125</v>
      </c>
      <c r="R47">
        <f t="shared" si="9"/>
        <v>0.26805204900000001</v>
      </c>
      <c r="S47">
        <f t="shared" si="1"/>
        <v>213.8671875</v>
      </c>
      <c r="T47">
        <f t="shared" si="2"/>
        <v>-5.1613476331254642</v>
      </c>
      <c r="U47">
        <v>0.41590375000000002</v>
      </c>
      <c r="V47">
        <v>52</v>
      </c>
      <c r="W47">
        <v>28</v>
      </c>
      <c r="X47">
        <v>3.25</v>
      </c>
      <c r="Y47">
        <v>101</v>
      </c>
      <c r="Z47">
        <v>33</v>
      </c>
      <c r="AA47">
        <v>36</v>
      </c>
      <c r="AB47">
        <v>32</v>
      </c>
      <c r="AC47" t="s">
        <v>25</v>
      </c>
      <c r="AD47">
        <v>16</v>
      </c>
      <c r="AE47">
        <v>7</v>
      </c>
      <c r="AF47">
        <v>5</v>
      </c>
      <c r="AG47">
        <v>11</v>
      </c>
      <c r="AH47">
        <v>9</v>
      </c>
      <c r="AI47">
        <v>16</v>
      </c>
      <c r="AJ47">
        <v>9</v>
      </c>
      <c r="AK47">
        <v>16</v>
      </c>
      <c r="AL47">
        <v>12</v>
      </c>
      <c r="AM47" s="2">
        <v>90.3</v>
      </c>
    </row>
    <row r="48" spans="1:39" x14ac:dyDescent="0.2">
      <c r="A48">
        <v>68</v>
      </c>
      <c r="B48" t="s">
        <v>33</v>
      </c>
      <c r="C48">
        <v>111.328125</v>
      </c>
      <c r="D48">
        <v>-6.2723805090000004</v>
      </c>
      <c r="E48">
        <v>109.375</v>
      </c>
      <c r="F48">
        <v>-7.1820403869999998</v>
      </c>
      <c r="G48">
        <v>117.1875</v>
      </c>
      <c r="H48">
        <v>-9.2248911299999996</v>
      </c>
      <c r="I48">
        <v>115.234375</v>
      </c>
      <c r="J48">
        <v>-8.1985842679999994</v>
      </c>
      <c r="K48">
        <v>232.421875</v>
      </c>
      <c r="L48">
        <v>-3.7640639734460599</v>
      </c>
      <c r="M48">
        <v>248.046875</v>
      </c>
      <c r="N48">
        <v>-3.33256649427355</v>
      </c>
      <c r="O48">
        <f t="shared" si="8"/>
        <v>110.3515625</v>
      </c>
      <c r="P48">
        <f t="shared" si="0"/>
        <v>-6.7272104480000001</v>
      </c>
      <c r="Q48">
        <f t="shared" si="7"/>
        <v>116.2109375</v>
      </c>
      <c r="R48">
        <f t="shared" si="9"/>
        <v>-8.7117376990000004</v>
      </c>
      <c r="S48">
        <f t="shared" si="1"/>
        <v>240.234375</v>
      </c>
      <c r="T48">
        <f t="shared" si="2"/>
        <v>-3.548315233859805</v>
      </c>
      <c r="U48">
        <v>0.39513458299999998</v>
      </c>
      <c r="V48">
        <v>55</v>
      </c>
      <c r="W48">
        <v>13</v>
      </c>
      <c r="X48">
        <v>2.5</v>
      </c>
      <c r="Y48">
        <v>89</v>
      </c>
      <c r="Z48">
        <v>32</v>
      </c>
      <c r="AA48">
        <v>33</v>
      </c>
      <c r="AB48">
        <v>24</v>
      </c>
      <c r="AC48" t="s">
        <v>25</v>
      </c>
      <c r="AD48">
        <v>16</v>
      </c>
      <c r="AE48">
        <v>8</v>
      </c>
      <c r="AF48">
        <v>6</v>
      </c>
      <c r="AG48">
        <v>7</v>
      </c>
      <c r="AH48">
        <v>10</v>
      </c>
      <c r="AI48">
        <v>11</v>
      </c>
      <c r="AJ48">
        <v>7</v>
      </c>
      <c r="AK48">
        <v>13</v>
      </c>
      <c r="AL48">
        <v>11</v>
      </c>
      <c r="AM48" s="2">
        <v>99.8</v>
      </c>
    </row>
    <row r="49" spans="1:39" x14ac:dyDescent="0.2">
      <c r="A49">
        <v>76</v>
      </c>
      <c r="B49" t="s">
        <v>33</v>
      </c>
      <c r="C49">
        <v>136.71875</v>
      </c>
      <c r="D49">
        <v>-1.6783656659999999</v>
      </c>
      <c r="E49">
        <v>138.671875</v>
      </c>
      <c r="F49">
        <v>-2.5288676059999999</v>
      </c>
      <c r="G49">
        <v>80.078125</v>
      </c>
      <c r="H49">
        <v>-0.110474934</v>
      </c>
      <c r="I49">
        <v>138.671875</v>
      </c>
      <c r="J49">
        <v>-0.857791317</v>
      </c>
      <c r="K49">
        <v>226.5625</v>
      </c>
      <c r="L49">
        <v>-2.0858016122687402</v>
      </c>
      <c r="M49">
        <v>242.1875</v>
      </c>
      <c r="N49">
        <v>-0.33825375609763703</v>
      </c>
      <c r="O49">
        <f t="shared" si="8"/>
        <v>137.6953125</v>
      </c>
      <c r="P49">
        <f t="shared" si="0"/>
        <v>-2.1036166359999999</v>
      </c>
      <c r="Q49">
        <f t="shared" si="7"/>
        <v>109.375</v>
      </c>
      <c r="R49">
        <f t="shared" si="9"/>
        <v>-0.48413312549999998</v>
      </c>
      <c r="S49">
        <f t="shared" si="1"/>
        <v>234.375</v>
      </c>
      <c r="T49">
        <f t="shared" si="2"/>
        <v>-1.2120276841831885</v>
      </c>
      <c r="U49">
        <v>0.3533288</v>
      </c>
      <c r="V49">
        <v>51</v>
      </c>
      <c r="W49">
        <v>22</v>
      </c>
      <c r="X49">
        <v>3.8</v>
      </c>
      <c r="Y49">
        <v>88</v>
      </c>
      <c r="Z49">
        <v>29</v>
      </c>
      <c r="AA49">
        <v>36</v>
      </c>
      <c r="AB49">
        <v>23</v>
      </c>
      <c r="AC49" t="s">
        <v>25</v>
      </c>
      <c r="AD49">
        <v>16</v>
      </c>
      <c r="AE49">
        <v>8</v>
      </c>
      <c r="AF49">
        <v>8</v>
      </c>
      <c r="AG49">
        <v>12</v>
      </c>
      <c r="AH49">
        <v>8</v>
      </c>
      <c r="AI49">
        <v>10</v>
      </c>
      <c r="AJ49">
        <v>10</v>
      </c>
      <c r="AK49">
        <v>13</v>
      </c>
      <c r="AL49">
        <v>3</v>
      </c>
      <c r="AM49" s="2">
        <v>99.7</v>
      </c>
    </row>
    <row r="50" spans="1:39" x14ac:dyDescent="0.2">
      <c r="A50">
        <v>79</v>
      </c>
      <c r="B50" t="s">
        <v>33</v>
      </c>
      <c r="C50">
        <v>130.859375</v>
      </c>
      <c r="D50">
        <v>-1.4577643819999999</v>
      </c>
      <c r="E50">
        <v>128.90625</v>
      </c>
      <c r="F50">
        <v>-1.670171812</v>
      </c>
      <c r="G50">
        <v>136.71875</v>
      </c>
      <c r="H50">
        <v>-0.99901373599999999</v>
      </c>
      <c r="I50">
        <v>136.71875</v>
      </c>
      <c r="J50">
        <v>-1.21062121</v>
      </c>
      <c r="K50">
        <v>218.75</v>
      </c>
      <c r="L50">
        <v>-4.3485972831347102</v>
      </c>
      <c r="M50">
        <v>216.796875</v>
      </c>
      <c r="N50">
        <v>-4.0234388668510404</v>
      </c>
      <c r="O50">
        <f t="shared" si="8"/>
        <v>129.8828125</v>
      </c>
      <c r="P50">
        <f t="shared" si="0"/>
        <v>-1.5639680970000001</v>
      </c>
      <c r="Q50">
        <f t="shared" si="7"/>
        <v>136.71875</v>
      </c>
      <c r="R50">
        <f t="shared" si="9"/>
        <v>-1.104817473</v>
      </c>
      <c r="S50">
        <f t="shared" si="1"/>
        <v>217.7734375</v>
      </c>
      <c r="T50">
        <f t="shared" si="2"/>
        <v>-4.1860180749928748</v>
      </c>
      <c r="U50">
        <v>0.39081500000000002</v>
      </c>
      <c r="V50">
        <v>51</v>
      </c>
      <c r="W50">
        <v>22</v>
      </c>
      <c r="X50">
        <v>4</v>
      </c>
      <c r="Y50">
        <v>85</v>
      </c>
      <c r="Z50">
        <v>36</v>
      </c>
      <c r="AA50">
        <v>26</v>
      </c>
      <c r="AB50">
        <v>23</v>
      </c>
      <c r="AC50" t="s">
        <v>25</v>
      </c>
      <c r="AD50">
        <v>11</v>
      </c>
      <c r="AE50">
        <v>9</v>
      </c>
      <c r="AF50">
        <v>9</v>
      </c>
      <c r="AG50">
        <v>8</v>
      </c>
      <c r="AH50">
        <v>7</v>
      </c>
      <c r="AI50">
        <v>11</v>
      </c>
      <c r="AJ50">
        <v>10</v>
      </c>
      <c r="AK50">
        <v>12</v>
      </c>
      <c r="AL50">
        <v>8</v>
      </c>
      <c r="AM50" s="2">
        <v>99.5</v>
      </c>
    </row>
    <row r="51" spans="1:39" x14ac:dyDescent="0.2">
      <c r="A51">
        <v>90</v>
      </c>
      <c r="B51" t="s">
        <v>33</v>
      </c>
      <c r="C51">
        <v>138.671875</v>
      </c>
      <c r="D51">
        <v>0.28957118900000001</v>
      </c>
      <c r="E51">
        <v>134.765625</v>
      </c>
      <c r="F51">
        <v>0.40035666399999997</v>
      </c>
      <c r="G51">
        <v>138.671875</v>
      </c>
      <c r="H51">
        <v>0.86096857900000001</v>
      </c>
      <c r="I51">
        <v>138.671875</v>
      </c>
      <c r="J51">
        <v>1.4666795399999999</v>
      </c>
      <c r="K51">
        <v>169.921875</v>
      </c>
      <c r="L51">
        <v>-2.6778053637191599</v>
      </c>
      <c r="M51">
        <v>169.921875</v>
      </c>
      <c r="N51">
        <v>-1.69109238541304</v>
      </c>
      <c r="O51">
        <f t="shared" si="8"/>
        <v>136.71875</v>
      </c>
      <c r="P51">
        <f t="shared" si="0"/>
        <v>0.34496392649999996</v>
      </c>
      <c r="Q51">
        <f t="shared" si="7"/>
        <v>138.671875</v>
      </c>
      <c r="R51">
        <f t="shared" si="9"/>
        <v>1.1638240595</v>
      </c>
      <c r="S51">
        <f t="shared" si="1"/>
        <v>169.921875</v>
      </c>
      <c r="T51">
        <f t="shared" si="2"/>
        <v>-2.1844488745661002</v>
      </c>
      <c r="U51">
        <v>0.352376154</v>
      </c>
      <c r="V51">
        <v>57</v>
      </c>
      <c r="W51">
        <v>28</v>
      </c>
      <c r="X51">
        <v>4</v>
      </c>
      <c r="Y51">
        <v>87</v>
      </c>
      <c r="Z51">
        <v>35</v>
      </c>
      <c r="AA51">
        <v>28</v>
      </c>
      <c r="AB51">
        <v>24</v>
      </c>
      <c r="AC51" t="s">
        <v>25</v>
      </c>
      <c r="AD51">
        <v>14</v>
      </c>
      <c r="AE51">
        <v>10</v>
      </c>
      <c r="AF51">
        <v>6</v>
      </c>
      <c r="AG51">
        <v>7</v>
      </c>
      <c r="AH51">
        <v>7</v>
      </c>
      <c r="AI51">
        <v>11</v>
      </c>
      <c r="AJ51">
        <v>8</v>
      </c>
      <c r="AK51">
        <v>13</v>
      </c>
      <c r="AL51">
        <v>11</v>
      </c>
      <c r="AM51" s="2">
        <v>95.2</v>
      </c>
    </row>
    <row r="52" spans="1:39" x14ac:dyDescent="0.2">
      <c r="A52">
        <v>91</v>
      </c>
      <c r="B52" t="s">
        <v>33</v>
      </c>
      <c r="C52">
        <v>125</v>
      </c>
      <c r="D52">
        <v>-7.7334508570000002</v>
      </c>
      <c r="E52">
        <v>128.90625</v>
      </c>
      <c r="F52">
        <v>-6.6068205029999998</v>
      </c>
      <c r="G52">
        <v>132.8125</v>
      </c>
      <c r="H52">
        <v>-10.508052620000001</v>
      </c>
      <c r="I52">
        <v>134.765625</v>
      </c>
      <c r="J52">
        <v>-9.1821731740000008</v>
      </c>
      <c r="K52">
        <v>183.59375</v>
      </c>
      <c r="L52">
        <v>-6.3008274427311504</v>
      </c>
      <c r="M52">
        <v>167.96875</v>
      </c>
      <c r="N52">
        <v>-3.39031486118702</v>
      </c>
      <c r="O52">
        <f t="shared" si="8"/>
        <v>126.953125</v>
      </c>
      <c r="P52">
        <f t="shared" si="0"/>
        <v>-7.1701356799999996</v>
      </c>
      <c r="Q52">
        <f t="shared" si="7"/>
        <v>133.7890625</v>
      </c>
      <c r="R52">
        <f t="shared" si="9"/>
        <v>-9.8451128969999999</v>
      </c>
      <c r="S52">
        <f t="shared" si="1"/>
        <v>175.78125</v>
      </c>
      <c r="T52">
        <f t="shared" si="2"/>
        <v>-4.8455711519590849</v>
      </c>
      <c r="U52">
        <v>0.35638954499999997</v>
      </c>
      <c r="V52">
        <v>47</v>
      </c>
      <c r="W52">
        <v>20</v>
      </c>
      <c r="X52">
        <v>3</v>
      </c>
      <c r="Y52">
        <v>92</v>
      </c>
      <c r="Z52">
        <v>49</v>
      </c>
      <c r="AA52">
        <v>18</v>
      </c>
      <c r="AB52">
        <v>25</v>
      </c>
      <c r="AC52" t="s">
        <v>25</v>
      </c>
      <c r="AD52">
        <v>8</v>
      </c>
      <c r="AE52">
        <v>12</v>
      </c>
      <c r="AF52">
        <v>10</v>
      </c>
      <c r="AG52">
        <v>5</v>
      </c>
      <c r="AH52">
        <v>5</v>
      </c>
      <c r="AI52">
        <v>9</v>
      </c>
      <c r="AJ52">
        <v>12</v>
      </c>
      <c r="AK52">
        <v>16</v>
      </c>
      <c r="AL52">
        <v>15</v>
      </c>
      <c r="AM52" s="2">
        <v>99</v>
      </c>
    </row>
    <row r="53" spans="1:39" x14ac:dyDescent="0.2">
      <c r="A53">
        <v>93</v>
      </c>
      <c r="B53" t="s">
        <v>33</v>
      </c>
      <c r="C53">
        <v>117.1875</v>
      </c>
      <c r="D53">
        <v>-1.0653532649999999</v>
      </c>
      <c r="E53">
        <v>119.140625</v>
      </c>
      <c r="F53">
        <v>-1.029398558</v>
      </c>
      <c r="G53">
        <v>134.765625</v>
      </c>
      <c r="H53">
        <v>-3.9373219810000002</v>
      </c>
      <c r="I53">
        <v>134.765625</v>
      </c>
      <c r="J53">
        <v>-3.4457491359999999</v>
      </c>
      <c r="K53">
        <v>218.75</v>
      </c>
      <c r="L53">
        <v>-4.8821407697036898</v>
      </c>
      <c r="M53">
        <v>216.796875</v>
      </c>
      <c r="N53">
        <v>-4.6898783342870596</v>
      </c>
      <c r="O53">
        <f t="shared" si="8"/>
        <v>118.1640625</v>
      </c>
      <c r="P53">
        <f t="shared" si="0"/>
        <v>-1.0473759115000001</v>
      </c>
      <c r="Q53">
        <f t="shared" si="7"/>
        <v>134.765625</v>
      </c>
      <c r="R53">
        <f t="shared" si="9"/>
        <v>-3.6915355585</v>
      </c>
      <c r="S53">
        <f t="shared" si="1"/>
        <v>217.7734375</v>
      </c>
      <c r="T53">
        <f t="shared" si="2"/>
        <v>-4.7860095519953747</v>
      </c>
      <c r="U53">
        <v>0.37769000000000003</v>
      </c>
      <c r="V53">
        <v>48</v>
      </c>
      <c r="W53">
        <v>17</v>
      </c>
      <c r="X53">
        <v>3.2</v>
      </c>
      <c r="Y53">
        <v>91</v>
      </c>
      <c r="Z53">
        <v>31</v>
      </c>
      <c r="AA53">
        <v>34</v>
      </c>
      <c r="AB53">
        <v>26</v>
      </c>
      <c r="AC53" t="s">
        <v>25</v>
      </c>
      <c r="AD53">
        <v>14</v>
      </c>
      <c r="AE53">
        <v>9</v>
      </c>
      <c r="AF53">
        <v>6</v>
      </c>
      <c r="AG53">
        <v>10</v>
      </c>
      <c r="AH53">
        <v>10</v>
      </c>
      <c r="AI53">
        <v>14</v>
      </c>
      <c r="AJ53">
        <v>2</v>
      </c>
      <c r="AK53">
        <v>12</v>
      </c>
      <c r="AL53">
        <v>14</v>
      </c>
      <c r="AM53" s="2">
        <v>92.6</v>
      </c>
    </row>
    <row r="54" spans="1:39" x14ac:dyDescent="0.2">
      <c r="A54">
        <v>94</v>
      </c>
      <c r="B54" t="s">
        <v>33</v>
      </c>
      <c r="C54">
        <v>117.1875</v>
      </c>
      <c r="D54">
        <v>-6.6242009069999996</v>
      </c>
      <c r="E54">
        <v>117.1875</v>
      </c>
      <c r="F54">
        <v>-6.1532071159999999</v>
      </c>
      <c r="G54">
        <v>121.09375</v>
      </c>
      <c r="H54">
        <v>-11.4709603</v>
      </c>
      <c r="I54">
        <v>121.09375</v>
      </c>
      <c r="J54">
        <v>-10.42519079</v>
      </c>
      <c r="K54">
        <v>201.171875</v>
      </c>
      <c r="L54">
        <v>-6.6792760586986502</v>
      </c>
      <c r="M54">
        <v>201.171875</v>
      </c>
      <c r="N54">
        <v>-5.8566886090260803</v>
      </c>
      <c r="O54">
        <f t="shared" si="8"/>
        <v>117.1875</v>
      </c>
      <c r="P54">
        <f t="shared" si="0"/>
        <v>-6.3887040114999998</v>
      </c>
      <c r="Q54">
        <f>AVERAGE(G54,I54)</f>
        <v>121.09375</v>
      </c>
      <c r="R54">
        <f t="shared" si="9"/>
        <v>-10.948075545</v>
      </c>
      <c r="S54">
        <f t="shared" si="1"/>
        <v>201.171875</v>
      </c>
      <c r="T54">
        <f t="shared" si="2"/>
        <v>-6.2679823338623653</v>
      </c>
      <c r="U54">
        <v>0.34348769200000001</v>
      </c>
      <c r="V54">
        <v>47</v>
      </c>
      <c r="W54">
        <v>23</v>
      </c>
      <c r="X54">
        <v>3.87</v>
      </c>
      <c r="Y54">
        <v>86</v>
      </c>
      <c r="Z54">
        <v>37</v>
      </c>
      <c r="AA54">
        <v>27</v>
      </c>
      <c r="AB54">
        <v>22</v>
      </c>
      <c r="AC54" t="s">
        <v>23</v>
      </c>
      <c r="AD54">
        <v>15</v>
      </c>
      <c r="AE54">
        <v>6</v>
      </c>
      <c r="AF54">
        <v>2</v>
      </c>
      <c r="AG54">
        <v>7</v>
      </c>
      <c r="AH54">
        <v>5</v>
      </c>
      <c r="AI54">
        <v>15</v>
      </c>
      <c r="AJ54">
        <v>15</v>
      </c>
      <c r="AK54">
        <v>7</v>
      </c>
      <c r="AL54">
        <v>14</v>
      </c>
      <c r="AM54" s="2">
        <v>99.7</v>
      </c>
    </row>
    <row r="55" spans="1:39" x14ac:dyDescent="0.2">
      <c r="A55">
        <v>95</v>
      </c>
      <c r="B55" t="s">
        <v>33</v>
      </c>
      <c r="C55">
        <v>126.953125</v>
      </c>
      <c r="D55">
        <v>-1.008622951</v>
      </c>
      <c r="E55">
        <v>128.90625</v>
      </c>
      <c r="F55">
        <v>-1.2820860620000001</v>
      </c>
      <c r="G55">
        <v>138.671875</v>
      </c>
      <c r="H55">
        <v>-3.0200287889999999</v>
      </c>
      <c r="I55">
        <v>138.671875</v>
      </c>
      <c r="J55">
        <v>-3.2300209299999998</v>
      </c>
      <c r="K55">
        <v>201.171875</v>
      </c>
      <c r="L55">
        <v>-4.1979898873392401</v>
      </c>
      <c r="M55">
        <v>201.171875</v>
      </c>
      <c r="N55">
        <v>-2.5590720886647298</v>
      </c>
      <c r="O55">
        <f t="shared" si="8"/>
        <v>127.9296875</v>
      </c>
      <c r="P55">
        <f t="shared" si="0"/>
        <v>-1.1453545064999999</v>
      </c>
      <c r="Q55">
        <f>AVERAGE(G55,I55)</f>
        <v>138.671875</v>
      </c>
      <c r="R55">
        <f t="shared" si="9"/>
        <v>-3.1250248594999999</v>
      </c>
      <c r="S55">
        <f t="shared" si="1"/>
        <v>201.171875</v>
      </c>
      <c r="T55">
        <f t="shared" si="2"/>
        <v>-3.3785309880019847</v>
      </c>
      <c r="U55">
        <v>0.40990399999999999</v>
      </c>
      <c r="V55">
        <v>53</v>
      </c>
      <c r="W55">
        <v>24</v>
      </c>
      <c r="X55">
        <v>3.9</v>
      </c>
      <c r="Y55">
        <v>91</v>
      </c>
      <c r="Z55">
        <v>35</v>
      </c>
      <c r="AA55">
        <v>33</v>
      </c>
      <c r="AB55">
        <v>23</v>
      </c>
      <c r="AC55" t="s">
        <v>25</v>
      </c>
      <c r="AD55">
        <v>12</v>
      </c>
      <c r="AE55">
        <v>9</v>
      </c>
      <c r="AF55">
        <v>8</v>
      </c>
      <c r="AG55">
        <v>12</v>
      </c>
      <c r="AH55">
        <v>9</v>
      </c>
      <c r="AI55">
        <v>11</v>
      </c>
      <c r="AJ55">
        <v>4</v>
      </c>
      <c r="AK55">
        <v>12</v>
      </c>
      <c r="AL55">
        <v>14</v>
      </c>
      <c r="AM55" s="2">
        <v>99.8</v>
      </c>
    </row>
    <row r="56" spans="1:39" x14ac:dyDescent="0.2">
      <c r="A56">
        <v>96</v>
      </c>
      <c r="B56" t="s">
        <v>33</v>
      </c>
      <c r="C56">
        <v>109.375</v>
      </c>
      <c r="D56">
        <v>-1.4910240800000001</v>
      </c>
      <c r="E56">
        <v>109.375</v>
      </c>
      <c r="F56">
        <v>-1.7284828560000001</v>
      </c>
      <c r="G56">
        <v>105.46875</v>
      </c>
      <c r="H56">
        <v>-2.0795243729999999</v>
      </c>
      <c r="I56">
        <v>117.1875</v>
      </c>
      <c r="J56">
        <v>-2.2768025949999999</v>
      </c>
      <c r="K56">
        <v>250</v>
      </c>
      <c r="L56">
        <v>-2.5007905600137299</v>
      </c>
      <c r="M56">
        <v>246.09375</v>
      </c>
      <c r="N56">
        <v>-1.19847246839761</v>
      </c>
      <c r="O56">
        <f t="shared" si="8"/>
        <v>109.375</v>
      </c>
      <c r="P56">
        <f t="shared" si="0"/>
        <v>-1.6097534680000001</v>
      </c>
      <c r="Q56">
        <f t="shared" ref="Q56:Q58" si="10">AVERAGE(G56,I56)</f>
        <v>111.328125</v>
      </c>
      <c r="R56">
        <f t="shared" si="9"/>
        <v>-2.1781634839999997</v>
      </c>
      <c r="S56">
        <f t="shared" si="1"/>
        <v>248.046875</v>
      </c>
      <c r="T56">
        <f t="shared" si="2"/>
        <v>-1.8496315142056701</v>
      </c>
      <c r="U56">
        <v>0.413332857</v>
      </c>
      <c r="V56">
        <v>45</v>
      </c>
      <c r="W56">
        <v>21</v>
      </c>
      <c r="X56">
        <v>3</v>
      </c>
      <c r="Y56">
        <v>92</v>
      </c>
      <c r="Z56">
        <v>40</v>
      </c>
      <c r="AA56">
        <v>29</v>
      </c>
      <c r="AB56">
        <v>23</v>
      </c>
      <c r="AC56" t="s">
        <v>25</v>
      </c>
      <c r="AD56">
        <v>12</v>
      </c>
      <c r="AE56">
        <v>9</v>
      </c>
      <c r="AF56">
        <v>9</v>
      </c>
      <c r="AG56">
        <v>9</v>
      </c>
      <c r="AH56">
        <v>8</v>
      </c>
      <c r="AI56">
        <v>12</v>
      </c>
      <c r="AJ56">
        <v>11</v>
      </c>
      <c r="AK56">
        <v>11</v>
      </c>
      <c r="AL56">
        <v>11</v>
      </c>
      <c r="AM56" s="2">
        <v>95.8</v>
      </c>
    </row>
    <row r="57" spans="1:39" x14ac:dyDescent="0.2">
      <c r="A57">
        <v>98</v>
      </c>
      <c r="B57" t="s">
        <v>33</v>
      </c>
      <c r="C57">
        <v>121.09375</v>
      </c>
      <c r="D57">
        <v>-1.619534362</v>
      </c>
      <c r="E57">
        <v>113.28125</v>
      </c>
      <c r="F57">
        <v>-1.7824273799999999</v>
      </c>
      <c r="G57">
        <v>111.328125</v>
      </c>
      <c r="H57">
        <v>-0.88272952999999998</v>
      </c>
      <c r="I57">
        <v>109.375</v>
      </c>
      <c r="J57">
        <v>-1.3327525140000001</v>
      </c>
      <c r="K57">
        <v>203.125</v>
      </c>
      <c r="L57">
        <v>-2.0911282483269198</v>
      </c>
      <c r="M57">
        <v>201.171875</v>
      </c>
      <c r="N57">
        <v>-2.1465177760404699</v>
      </c>
      <c r="O57">
        <f t="shared" si="8"/>
        <v>117.1875</v>
      </c>
      <c r="P57">
        <f t="shared" si="0"/>
        <v>-1.7009808710000001</v>
      </c>
      <c r="Q57">
        <f t="shared" si="10"/>
        <v>110.3515625</v>
      </c>
      <c r="R57">
        <f>AVERAGE(H57,J57)</f>
        <v>-1.1077410219999999</v>
      </c>
      <c r="S57">
        <f t="shared" si="1"/>
        <v>202.1484375</v>
      </c>
      <c r="T57">
        <f t="shared" si="2"/>
        <v>-2.1188230121836948</v>
      </c>
      <c r="U57">
        <v>0.38482846199999998</v>
      </c>
      <c r="V57">
        <v>57</v>
      </c>
      <c r="W57">
        <v>33</v>
      </c>
      <c r="X57">
        <v>3.9</v>
      </c>
      <c r="Y57">
        <v>85</v>
      </c>
      <c r="Z57">
        <v>36</v>
      </c>
      <c r="AA57">
        <v>20</v>
      </c>
      <c r="AB57">
        <v>29</v>
      </c>
      <c r="AC57" t="s">
        <v>25</v>
      </c>
      <c r="AD57">
        <v>15</v>
      </c>
      <c r="AE57">
        <v>10</v>
      </c>
      <c r="AF57">
        <v>10</v>
      </c>
      <c r="AG57">
        <v>1</v>
      </c>
      <c r="AH57">
        <v>4</v>
      </c>
      <c r="AI57">
        <v>14</v>
      </c>
      <c r="AJ57">
        <v>6</v>
      </c>
      <c r="AK57">
        <v>15</v>
      </c>
      <c r="AL57">
        <v>10</v>
      </c>
      <c r="AM57" s="2">
        <v>98.2</v>
      </c>
    </row>
    <row r="58" spans="1:39" x14ac:dyDescent="0.2">
      <c r="A58">
        <v>99</v>
      </c>
      <c r="B58" t="s">
        <v>33</v>
      </c>
      <c r="C58">
        <v>126.953125</v>
      </c>
      <c r="D58">
        <v>-0.38481652700000002</v>
      </c>
      <c r="E58">
        <v>111.328125</v>
      </c>
      <c r="F58">
        <v>-2.0601663999999999E-2</v>
      </c>
      <c r="G58">
        <v>134.765625</v>
      </c>
      <c r="H58">
        <v>-0.30648915799999998</v>
      </c>
      <c r="I58">
        <v>136.71875</v>
      </c>
      <c r="J58">
        <v>-0.44292063700000001</v>
      </c>
      <c r="K58">
        <v>248.046875</v>
      </c>
      <c r="L58">
        <v>-3.05481736660004</v>
      </c>
      <c r="M58">
        <v>246.09375</v>
      </c>
      <c r="N58">
        <v>-3.7300045132637001</v>
      </c>
      <c r="O58">
        <f t="shared" si="8"/>
        <v>119.140625</v>
      </c>
      <c r="P58">
        <f t="shared" si="0"/>
        <v>-0.20270909550000002</v>
      </c>
      <c r="Q58">
        <f t="shared" si="10"/>
        <v>135.7421875</v>
      </c>
      <c r="R58">
        <f>AVERAGE(H58,J58)</f>
        <v>-0.37470489750000002</v>
      </c>
      <c r="S58">
        <f t="shared" si="1"/>
        <v>247.0703125</v>
      </c>
      <c r="T58">
        <f t="shared" si="2"/>
        <v>-3.39241093993187</v>
      </c>
      <c r="U58">
        <v>0.38020749999999998</v>
      </c>
      <c r="V58">
        <v>54</v>
      </c>
      <c r="W58">
        <v>41</v>
      </c>
      <c r="X58">
        <v>4</v>
      </c>
      <c r="Y58">
        <v>89</v>
      </c>
      <c r="Z58">
        <v>32</v>
      </c>
      <c r="AA58">
        <v>35</v>
      </c>
      <c r="AB58">
        <v>22</v>
      </c>
      <c r="AC58" t="s">
        <v>23</v>
      </c>
      <c r="AD58">
        <v>16</v>
      </c>
      <c r="AE58">
        <v>6</v>
      </c>
      <c r="AF58">
        <v>9</v>
      </c>
      <c r="AG58">
        <v>12</v>
      </c>
      <c r="AH58">
        <v>7</v>
      </c>
      <c r="AI58">
        <v>7</v>
      </c>
      <c r="AJ58">
        <v>7</v>
      </c>
      <c r="AK58">
        <v>15</v>
      </c>
      <c r="AL58">
        <v>10</v>
      </c>
      <c r="AM58" s="2">
        <v>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Torrens</cp:lastModifiedBy>
  <dcterms:created xsi:type="dcterms:W3CDTF">2025-10-05T02:51:50Z</dcterms:created>
  <dcterms:modified xsi:type="dcterms:W3CDTF">2025-10-17T17:45:37Z</dcterms:modified>
</cp:coreProperties>
</file>