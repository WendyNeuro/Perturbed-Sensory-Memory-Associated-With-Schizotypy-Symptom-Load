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endyalfonso-torrens/Documents/Research/2025_MMN/Schizophrenia_Research/10_2025_Second_re-submission/Analyses_09_29/"/>
    </mc:Choice>
  </mc:AlternateContent>
  <xr:revisionPtr revIDLastSave="0" documentId="13_ncr:1_{2B50273D-6274-2447-AE43-E0D1F77B3DC2}" xr6:coauthVersionLast="47" xr6:coauthVersionMax="47" xr10:uidLastSave="{00000000-0000-0000-0000-000000000000}"/>
  <bookViews>
    <workbookView xWindow="2020" yWindow="780" windowWidth="28040" windowHeight="17440" xr2:uid="{A3C890ED-C9A3-CC4A-AA42-4E887EE5851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9" i="2" l="1"/>
  <c r="T50" i="2"/>
  <c r="T51" i="2"/>
  <c r="T52" i="2"/>
  <c r="T53" i="2"/>
  <c r="T54" i="2"/>
  <c r="T55" i="2"/>
  <c r="T56" i="2"/>
  <c r="T57" i="2"/>
  <c r="T5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2" i="2"/>
  <c r="R48" i="2"/>
  <c r="R49" i="2"/>
  <c r="R50" i="2"/>
  <c r="R51" i="2"/>
  <c r="R52" i="2"/>
  <c r="R53" i="2"/>
  <c r="R54" i="2"/>
  <c r="R55" i="2"/>
  <c r="R56" i="2"/>
  <c r="R57" i="2"/>
  <c r="R5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2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" i="2"/>
</calcChain>
</file>

<file path=xl/sharedStrings.xml><?xml version="1.0" encoding="utf-8"?>
<sst xmlns="http://schemas.openxmlformats.org/spreadsheetml/2006/main" count="160" uniqueCount="52">
  <si>
    <t>ID</t>
  </si>
  <si>
    <t>Group</t>
  </si>
  <si>
    <t>RT_mean</t>
  </si>
  <si>
    <t>Raven_Score</t>
  </si>
  <si>
    <t>Raven_Time</t>
  </si>
  <si>
    <t>GPA</t>
  </si>
  <si>
    <t>Total_Score</t>
  </si>
  <si>
    <t>Cognitive_Perceptual</t>
  </si>
  <si>
    <t>Interpersonal</t>
  </si>
  <si>
    <t>Disorganized</t>
  </si>
  <si>
    <t>Disorganized_Split</t>
  </si>
  <si>
    <t>Social_Anxiety</t>
  </si>
  <si>
    <t>Ideas_of_reference</t>
  </si>
  <si>
    <t>Suspiciousness</t>
  </si>
  <si>
    <t>No_close_friends</t>
  </si>
  <si>
    <t>Constricted_affect</t>
  </si>
  <si>
    <t>Eccentric_thinking</t>
  </si>
  <si>
    <t>Magical_Thinking</t>
  </si>
  <si>
    <t>Odd_speech</t>
  </si>
  <si>
    <t>Unusual_perceptions</t>
  </si>
  <si>
    <t>Epochs_kept</t>
  </si>
  <si>
    <t>1CR</t>
  </si>
  <si>
    <t>control</t>
  </si>
  <si>
    <t>Median</t>
  </si>
  <si>
    <t>3SF</t>
  </si>
  <si>
    <t>High</t>
  </si>
  <si>
    <t>4LT</t>
  </si>
  <si>
    <t>Low</t>
  </si>
  <si>
    <t>5EP</t>
  </si>
  <si>
    <t>6LG</t>
  </si>
  <si>
    <t>10BP</t>
  </si>
  <si>
    <t>No</t>
  </si>
  <si>
    <t>7KL</t>
  </si>
  <si>
    <t>high</t>
  </si>
  <si>
    <t>N1_Fz_Dev_Latency</t>
  </si>
  <si>
    <t>N1_Fz_Dev_Amplitude</t>
  </si>
  <si>
    <t>N1_Cz_Dev_Latency</t>
  </si>
  <si>
    <t>N1_Cz_Dev_Amplitude</t>
  </si>
  <si>
    <t>N1_Fz_Std_Latency</t>
  </si>
  <si>
    <t>N1_Fz_Std_Amplitude</t>
  </si>
  <si>
    <t>N1_Cz_Std_Latency</t>
  </si>
  <si>
    <t>N1_Cz_Std_Amplitude</t>
  </si>
  <si>
    <t>MMN_Fz_Latency</t>
  </si>
  <si>
    <t>MMN_Fz_Amplitude</t>
  </si>
  <si>
    <t>MMN_Cz_Latency</t>
  </si>
  <si>
    <t>MMN_Cz_Amplitude</t>
  </si>
  <si>
    <t>N1_M_Std_Amplitude</t>
  </si>
  <si>
    <t>N1_M_Std_Latency</t>
  </si>
  <si>
    <t>MMN_M_Latency</t>
  </si>
  <si>
    <t>MMN_M_Amplitude</t>
  </si>
  <si>
    <t>N1_M_Dev_Latency</t>
  </si>
  <si>
    <t>N1_M_Dev_Amplitude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</si>
</sst>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2AE85-2196-1641-A9F0-4AB2B2C814BA}">
  <dimension ref="A1:AM58"/>
  <sheetViews>
    <sheetView tabSelected="1" topLeftCell="F1" workbookViewId="0">
      <selection activeCell="N15" sqref="N15"/>
    </sheetView>
  </sheetViews>
  <sheetFormatPr baseColWidth="10" defaultRowHeight="16" x14ac:dyDescent="0.2"/>
  <cols>
    <col min="7" max="7" width="11.33203125" customWidth="1"/>
    <col min="8" max="10" width="12" customWidth="1"/>
  </cols>
  <sheetData>
    <row r="1" spans="1:39" x14ac:dyDescent="0.2">
      <c r="A1" t="s">
        <v>0</v>
      </c>
      <c r="B1" t="s">
        <v>1</v>
      </c>
      <c r="C1" t="s">
        <v>38</v>
      </c>
      <c r="D1" t="s">
        <v>39</v>
      </c>
      <c r="E1" t="s">
        <v>40</v>
      </c>
      <c r="F1" t="s">
        <v>41</v>
      </c>
      <c r="G1" t="s">
        <v>34</v>
      </c>
      <c r="H1" t="s">
        <v>35</v>
      </c>
      <c r="I1" t="s">
        <v>36</v>
      </c>
      <c r="J1" t="s">
        <v>37</v>
      </c>
      <c r="K1" t="s">
        <v>42</v>
      </c>
      <c r="L1" t="s">
        <v>43</v>
      </c>
      <c r="M1" t="s">
        <v>44</v>
      </c>
      <c r="N1" t="s">
        <v>45</v>
      </c>
      <c r="O1" t="s">
        <v>47</v>
      </c>
      <c r="P1" t="s">
        <v>46</v>
      </c>
      <c r="Q1" t="s">
        <v>50</v>
      </c>
      <c r="R1" t="s">
        <v>51</v>
      </c>
      <c r="S1" t="s">
        <v>48</v>
      </c>
      <c r="T1" s="1" t="s">
        <v>49</v>
      </c>
      <c r="U1" t="s">
        <v>2</v>
      </c>
      <c r="V1" t="s">
        <v>3</v>
      </c>
      <c r="W1" t="s">
        <v>4</v>
      </c>
      <c r="X1" t="s">
        <v>5</v>
      </c>
      <c r="Y1" t="s">
        <v>6</v>
      </c>
      <c r="Z1" t="s">
        <v>7</v>
      </c>
      <c r="AA1" t="s">
        <v>8</v>
      </c>
      <c r="AB1" t="s">
        <v>9</v>
      </c>
      <c r="AC1" t="s">
        <v>10</v>
      </c>
      <c r="AD1" t="s">
        <v>11</v>
      </c>
      <c r="AE1" t="s">
        <v>12</v>
      </c>
      <c r="AF1" t="s">
        <v>13</v>
      </c>
      <c r="AG1" t="s">
        <v>14</v>
      </c>
      <c r="AH1" t="s">
        <v>15</v>
      </c>
      <c r="AI1" t="s">
        <v>16</v>
      </c>
      <c r="AJ1" t="s">
        <v>17</v>
      </c>
      <c r="AK1" t="s">
        <v>18</v>
      </c>
      <c r="AL1" t="s">
        <v>19</v>
      </c>
      <c r="AM1" t="s">
        <v>20</v>
      </c>
    </row>
    <row r="2" spans="1:39" x14ac:dyDescent="0.2">
      <c r="A2" t="s">
        <v>21</v>
      </c>
      <c r="B2" t="s">
        <v>22</v>
      </c>
      <c r="C2">
        <v>119.140625</v>
      </c>
      <c r="D2">
        <v>-0.88163383556438701</v>
      </c>
      <c r="E2">
        <v>117.1875</v>
      </c>
      <c r="F2">
        <v>-7.4183544430482098E-2</v>
      </c>
      <c r="G2">
        <v>117.1875</v>
      </c>
      <c r="H2">
        <v>-0.452940939077491</v>
      </c>
      <c r="I2">
        <v>117.1875</v>
      </c>
      <c r="J2">
        <v>-0.748201245538193</v>
      </c>
      <c r="K2">
        <v>158.203125</v>
      </c>
      <c r="L2">
        <v>-2.9174750781254</v>
      </c>
      <c r="M2">
        <v>193.359375</v>
      </c>
      <c r="N2">
        <v>-2.1528442146394</v>
      </c>
      <c r="O2">
        <f>AVERAGE(C2,E2)</f>
        <v>118.1640625</v>
      </c>
      <c r="P2">
        <f>AVERAGE(D2,F2)</f>
        <v>-0.47790868999743458</v>
      </c>
      <c r="Q2">
        <f>AVERAGE(G2,I2)</f>
        <v>117.1875</v>
      </c>
      <c r="R2">
        <f>AVERAGE(H2,J2)</f>
        <v>-0.600571092307842</v>
      </c>
      <c r="S2">
        <f>AVERAGE(K2,M2)</f>
        <v>175.78125</v>
      </c>
      <c r="T2">
        <f>AVERAGE(L2,N2)</f>
        <v>-2.5351596463824002</v>
      </c>
      <c r="U2">
        <v>0.39814653799999999</v>
      </c>
      <c r="V2">
        <v>38</v>
      </c>
      <c r="W2">
        <v>45</v>
      </c>
      <c r="X2">
        <v>3.4</v>
      </c>
      <c r="Y2">
        <v>56</v>
      </c>
      <c r="Z2">
        <v>22</v>
      </c>
      <c r="AA2">
        <v>12</v>
      </c>
      <c r="AB2">
        <v>22</v>
      </c>
      <c r="AC2" t="s">
        <v>23</v>
      </c>
      <c r="AD2">
        <v>8</v>
      </c>
      <c r="AE2">
        <v>5</v>
      </c>
      <c r="AF2">
        <v>4</v>
      </c>
      <c r="AG2">
        <v>1</v>
      </c>
      <c r="AH2">
        <v>3</v>
      </c>
      <c r="AI2">
        <v>10</v>
      </c>
      <c r="AJ2">
        <v>8</v>
      </c>
      <c r="AK2">
        <v>12</v>
      </c>
      <c r="AL2">
        <v>5</v>
      </c>
      <c r="AM2" s="2">
        <v>98.1</v>
      </c>
    </row>
    <row r="3" spans="1:39" x14ac:dyDescent="0.2">
      <c r="A3" t="s">
        <v>24</v>
      </c>
      <c r="B3" t="s">
        <v>22</v>
      </c>
      <c r="C3">
        <v>125</v>
      </c>
      <c r="D3">
        <v>0.35212682341218898</v>
      </c>
      <c r="E3">
        <v>109.375</v>
      </c>
      <c r="F3">
        <v>0.273725974502745</v>
      </c>
      <c r="G3">
        <v>97.65625</v>
      </c>
      <c r="H3">
        <v>1.6205808574260601</v>
      </c>
      <c r="I3">
        <v>99.609375</v>
      </c>
      <c r="J3">
        <v>1.6025519310479299</v>
      </c>
      <c r="K3">
        <v>162.109375</v>
      </c>
      <c r="L3">
        <v>-2.0231570338624598</v>
      </c>
      <c r="M3">
        <v>162.109375</v>
      </c>
      <c r="N3">
        <v>-2.2797310105047801</v>
      </c>
      <c r="O3">
        <f t="shared" ref="O3:O58" si="0">AVERAGE(C3,E3)</f>
        <v>117.1875</v>
      </c>
      <c r="P3">
        <f t="shared" ref="P3:P58" si="1">AVERAGE(D3,F3)</f>
        <v>0.31292639895746699</v>
      </c>
      <c r="Q3">
        <f t="shared" ref="Q3:Q58" si="2">AVERAGE(G3,I3)</f>
        <v>98.6328125</v>
      </c>
      <c r="R3">
        <f t="shared" ref="R3:R58" si="3">AVERAGE(H3,J3)</f>
        <v>1.6115663942369949</v>
      </c>
      <c r="S3">
        <f t="shared" ref="S3:S58" si="4">AVERAGE(K3,M3)</f>
        <v>162.109375</v>
      </c>
      <c r="T3">
        <f t="shared" ref="T3:T58" si="5">AVERAGE(L3,N3)</f>
        <v>-2.15144402218362</v>
      </c>
      <c r="U3">
        <v>0.47991576899999999</v>
      </c>
      <c r="V3">
        <v>51</v>
      </c>
      <c r="W3">
        <v>20</v>
      </c>
      <c r="X3">
        <v>3.49</v>
      </c>
      <c r="Y3">
        <v>56</v>
      </c>
      <c r="Z3">
        <v>18</v>
      </c>
      <c r="AA3">
        <v>8</v>
      </c>
      <c r="AB3">
        <v>30</v>
      </c>
      <c r="AC3" t="s">
        <v>25</v>
      </c>
      <c r="AD3">
        <v>6</v>
      </c>
      <c r="AE3">
        <v>8</v>
      </c>
      <c r="AF3">
        <v>4</v>
      </c>
      <c r="AG3">
        <v>1</v>
      </c>
      <c r="AH3">
        <v>1</v>
      </c>
      <c r="AI3">
        <v>14</v>
      </c>
      <c r="AJ3">
        <v>2</v>
      </c>
      <c r="AK3">
        <v>16</v>
      </c>
      <c r="AL3">
        <v>4</v>
      </c>
      <c r="AM3" s="2">
        <v>100</v>
      </c>
    </row>
    <row r="4" spans="1:39" x14ac:dyDescent="0.2">
      <c r="A4" t="s">
        <v>26</v>
      </c>
      <c r="B4" t="s">
        <v>22</v>
      </c>
      <c r="C4">
        <v>136.71875</v>
      </c>
      <c r="D4">
        <v>-2.2665624142955298</v>
      </c>
      <c r="E4">
        <v>132.8125</v>
      </c>
      <c r="F4">
        <v>-2.23392679210991</v>
      </c>
      <c r="G4">
        <v>138.671875</v>
      </c>
      <c r="H4">
        <v>-2.9630313159609298</v>
      </c>
      <c r="I4">
        <v>138.671875</v>
      </c>
      <c r="J4">
        <v>-2.5610228135958</v>
      </c>
      <c r="K4">
        <v>152.34375</v>
      </c>
      <c r="L4">
        <v>-3.3045024448592599</v>
      </c>
      <c r="M4">
        <v>154.296875</v>
      </c>
      <c r="N4">
        <v>-2.1602151617757199</v>
      </c>
      <c r="O4">
        <f t="shared" si="0"/>
        <v>134.765625</v>
      </c>
      <c r="P4">
        <f t="shared" si="1"/>
        <v>-2.2502446032027201</v>
      </c>
      <c r="Q4">
        <f t="shared" si="2"/>
        <v>138.671875</v>
      </c>
      <c r="R4">
        <f t="shared" si="3"/>
        <v>-2.7620270647783647</v>
      </c>
      <c r="S4">
        <f t="shared" si="4"/>
        <v>153.3203125</v>
      </c>
      <c r="T4">
        <f t="shared" si="5"/>
        <v>-2.7323588033174899</v>
      </c>
      <c r="U4">
        <v>0.38455583300000001</v>
      </c>
      <c r="V4">
        <v>53</v>
      </c>
      <c r="W4">
        <v>20</v>
      </c>
      <c r="X4">
        <v>3.5</v>
      </c>
      <c r="Y4">
        <v>59</v>
      </c>
      <c r="Z4">
        <v>28</v>
      </c>
      <c r="AA4">
        <v>18</v>
      </c>
      <c r="AB4">
        <v>13</v>
      </c>
      <c r="AC4" t="s">
        <v>27</v>
      </c>
      <c r="AD4">
        <v>8</v>
      </c>
      <c r="AE4">
        <v>9</v>
      </c>
      <c r="AF4">
        <v>8</v>
      </c>
      <c r="AG4">
        <v>5</v>
      </c>
      <c r="AH4">
        <v>5</v>
      </c>
      <c r="AI4">
        <v>5</v>
      </c>
      <c r="AJ4">
        <v>5</v>
      </c>
      <c r="AK4">
        <v>8</v>
      </c>
      <c r="AL4">
        <v>6</v>
      </c>
      <c r="AM4" s="2">
        <v>99.8</v>
      </c>
    </row>
    <row r="5" spans="1:39" x14ac:dyDescent="0.2">
      <c r="A5" t="s">
        <v>28</v>
      </c>
      <c r="B5" t="s">
        <v>22</v>
      </c>
      <c r="C5">
        <v>117.1875</v>
      </c>
      <c r="D5">
        <v>-3.4793958339811302</v>
      </c>
      <c r="E5">
        <v>115.234375</v>
      </c>
      <c r="F5">
        <v>-3.2740835773203201</v>
      </c>
      <c r="G5">
        <v>119.140625</v>
      </c>
      <c r="H5">
        <v>-4.9754488066735103</v>
      </c>
      <c r="I5">
        <v>117.1875</v>
      </c>
      <c r="J5">
        <v>-4.6318642751145402</v>
      </c>
      <c r="K5">
        <v>183.59375</v>
      </c>
      <c r="L5">
        <v>-1.5583450504394101</v>
      </c>
      <c r="M5">
        <v>167.96875</v>
      </c>
      <c r="N5">
        <v>-1.2515821721107101</v>
      </c>
      <c r="O5">
        <f t="shared" si="0"/>
        <v>116.2109375</v>
      </c>
      <c r="P5">
        <f t="shared" si="1"/>
        <v>-3.3767397056507251</v>
      </c>
      <c r="Q5">
        <f t="shared" si="2"/>
        <v>118.1640625</v>
      </c>
      <c r="R5">
        <f t="shared" si="3"/>
        <v>-4.8036565408940248</v>
      </c>
      <c r="S5">
        <f t="shared" si="4"/>
        <v>175.78125</v>
      </c>
      <c r="T5">
        <f t="shared" si="5"/>
        <v>-1.4049636112750601</v>
      </c>
      <c r="U5">
        <v>0.35885045500000001</v>
      </c>
      <c r="V5">
        <v>46</v>
      </c>
      <c r="W5">
        <v>30</v>
      </c>
      <c r="X5">
        <v>3.84</v>
      </c>
      <c r="Y5">
        <v>59</v>
      </c>
      <c r="Z5">
        <v>21</v>
      </c>
      <c r="AA5">
        <v>19</v>
      </c>
      <c r="AB5">
        <v>19</v>
      </c>
      <c r="AC5" t="s">
        <v>27</v>
      </c>
      <c r="AD5">
        <v>7</v>
      </c>
      <c r="AE5">
        <v>8</v>
      </c>
      <c r="AF5">
        <v>5</v>
      </c>
      <c r="AG5">
        <v>7</v>
      </c>
      <c r="AH5">
        <v>5</v>
      </c>
      <c r="AI5">
        <v>7</v>
      </c>
      <c r="AJ5">
        <v>2</v>
      </c>
      <c r="AK5">
        <v>12</v>
      </c>
      <c r="AL5">
        <v>6</v>
      </c>
      <c r="AM5" s="2">
        <v>99.8</v>
      </c>
    </row>
    <row r="6" spans="1:39" x14ac:dyDescent="0.2">
      <c r="A6" t="s">
        <v>29</v>
      </c>
      <c r="B6" t="s">
        <v>22</v>
      </c>
      <c r="C6">
        <v>138.671875</v>
      </c>
      <c r="D6">
        <v>0.144081578956026</v>
      </c>
      <c r="E6">
        <v>126.953125</v>
      </c>
      <c r="F6">
        <v>-0.71194449175570595</v>
      </c>
      <c r="G6">
        <v>128.90625</v>
      </c>
      <c r="H6">
        <v>-1.93008824426309</v>
      </c>
      <c r="I6">
        <v>130.859375</v>
      </c>
      <c r="J6">
        <v>-3.1165164203050799</v>
      </c>
      <c r="K6">
        <v>208.984375</v>
      </c>
      <c r="L6">
        <v>-1.52293215234707</v>
      </c>
      <c r="M6">
        <v>171.875</v>
      </c>
      <c r="N6">
        <v>-1.3692128717788601</v>
      </c>
      <c r="O6">
        <f t="shared" si="0"/>
        <v>132.8125</v>
      </c>
      <c r="P6">
        <f t="shared" si="1"/>
        <v>-0.28393145639983997</v>
      </c>
      <c r="Q6">
        <f t="shared" si="2"/>
        <v>129.8828125</v>
      </c>
      <c r="R6">
        <f t="shared" si="3"/>
        <v>-2.5233023322840848</v>
      </c>
      <c r="S6">
        <f t="shared" si="4"/>
        <v>190.4296875</v>
      </c>
      <c r="T6">
        <f t="shared" si="5"/>
        <v>-1.4460725120629649</v>
      </c>
      <c r="U6">
        <v>0.39433583300000002</v>
      </c>
      <c r="V6">
        <v>52</v>
      </c>
      <c r="W6">
        <v>35</v>
      </c>
      <c r="X6">
        <v>3.5</v>
      </c>
      <c r="Y6">
        <v>52</v>
      </c>
      <c r="Z6">
        <v>22</v>
      </c>
      <c r="AA6">
        <v>14</v>
      </c>
      <c r="AB6">
        <v>16</v>
      </c>
      <c r="AC6" t="s">
        <v>27</v>
      </c>
      <c r="AD6">
        <v>7</v>
      </c>
      <c r="AE6">
        <v>9</v>
      </c>
      <c r="AF6">
        <v>8</v>
      </c>
      <c r="AG6">
        <v>3</v>
      </c>
      <c r="AH6">
        <v>4</v>
      </c>
      <c r="AI6">
        <v>4</v>
      </c>
      <c r="AJ6">
        <v>0</v>
      </c>
      <c r="AK6">
        <v>12</v>
      </c>
      <c r="AL6">
        <v>5</v>
      </c>
      <c r="AM6" s="2">
        <v>98.2</v>
      </c>
    </row>
    <row r="7" spans="1:39" x14ac:dyDescent="0.2">
      <c r="A7" t="s">
        <v>30</v>
      </c>
      <c r="B7" t="s">
        <v>22</v>
      </c>
      <c r="C7">
        <v>101.5625</v>
      </c>
      <c r="D7">
        <v>-3.9988233317794499</v>
      </c>
      <c r="E7">
        <v>99.609375</v>
      </c>
      <c r="F7">
        <v>-4.1320907824823498</v>
      </c>
      <c r="G7">
        <v>113.28125</v>
      </c>
      <c r="H7">
        <v>-4.6497270021722601</v>
      </c>
      <c r="I7">
        <v>111.328125</v>
      </c>
      <c r="J7">
        <v>-3.4840114929352102</v>
      </c>
      <c r="K7">
        <v>150.390625</v>
      </c>
      <c r="L7">
        <v>-1.99131092534815</v>
      </c>
      <c r="M7">
        <v>212.890625</v>
      </c>
      <c r="N7">
        <v>-1.06794462259312</v>
      </c>
      <c r="O7">
        <f t="shared" si="0"/>
        <v>100.5859375</v>
      </c>
      <c r="P7">
        <f t="shared" si="1"/>
        <v>-4.0654570571308994</v>
      </c>
      <c r="Q7">
        <f t="shared" si="2"/>
        <v>112.3046875</v>
      </c>
      <c r="R7">
        <f t="shared" si="3"/>
        <v>-4.0668692475537354</v>
      </c>
      <c r="S7">
        <f t="shared" si="4"/>
        <v>181.640625</v>
      </c>
      <c r="T7">
        <f t="shared" si="5"/>
        <v>-1.529627773970635</v>
      </c>
      <c r="U7">
        <v>0.47519280000000003</v>
      </c>
      <c r="V7">
        <v>49</v>
      </c>
      <c r="W7">
        <v>11</v>
      </c>
      <c r="X7">
        <v>3.5</v>
      </c>
      <c r="Y7">
        <v>58</v>
      </c>
      <c r="Z7">
        <v>23</v>
      </c>
      <c r="AA7">
        <v>18</v>
      </c>
      <c r="AB7">
        <v>17</v>
      </c>
      <c r="AC7" t="s">
        <v>27</v>
      </c>
      <c r="AD7">
        <v>9</v>
      </c>
      <c r="AE7">
        <v>8</v>
      </c>
      <c r="AF7">
        <v>5</v>
      </c>
      <c r="AG7">
        <v>3</v>
      </c>
      <c r="AH7">
        <v>6</v>
      </c>
      <c r="AI7">
        <v>5</v>
      </c>
      <c r="AJ7">
        <v>4</v>
      </c>
      <c r="AK7">
        <v>12</v>
      </c>
      <c r="AL7">
        <v>6</v>
      </c>
      <c r="AM7" s="2">
        <v>94.7</v>
      </c>
    </row>
    <row r="8" spans="1:39" x14ac:dyDescent="0.2">
      <c r="A8">
        <v>31</v>
      </c>
      <c r="B8" t="s">
        <v>22</v>
      </c>
      <c r="C8">
        <v>123.046875</v>
      </c>
      <c r="D8">
        <v>-3.0531791958919898</v>
      </c>
      <c r="E8">
        <v>119.140625</v>
      </c>
      <c r="F8">
        <v>-3.4210500344614099</v>
      </c>
      <c r="G8">
        <v>130.859375</v>
      </c>
      <c r="H8">
        <v>-2.2983257153658001</v>
      </c>
      <c r="I8">
        <v>128.90625</v>
      </c>
      <c r="J8">
        <v>-2.15687358003622</v>
      </c>
      <c r="K8">
        <v>191.40625</v>
      </c>
      <c r="L8">
        <v>-3.6167936755114898</v>
      </c>
      <c r="M8">
        <v>193.359375</v>
      </c>
      <c r="N8">
        <v>-4.0582873431378399</v>
      </c>
      <c r="O8">
        <f t="shared" si="0"/>
        <v>121.09375</v>
      </c>
      <c r="P8">
        <f t="shared" si="1"/>
        <v>-3.2371146151766998</v>
      </c>
      <c r="Q8">
        <f t="shared" si="2"/>
        <v>129.8828125</v>
      </c>
      <c r="R8">
        <f t="shared" si="3"/>
        <v>-2.2275996477010098</v>
      </c>
      <c r="S8">
        <f t="shared" si="4"/>
        <v>192.3828125</v>
      </c>
      <c r="T8">
        <f t="shared" si="5"/>
        <v>-3.8375405093246648</v>
      </c>
      <c r="U8">
        <v>0.4036264</v>
      </c>
      <c r="V8">
        <v>55</v>
      </c>
      <c r="W8">
        <v>23</v>
      </c>
      <c r="X8">
        <v>3.6</v>
      </c>
      <c r="Y8">
        <v>69</v>
      </c>
      <c r="Z8">
        <v>26</v>
      </c>
      <c r="AA8">
        <v>20</v>
      </c>
      <c r="AB8">
        <v>23</v>
      </c>
      <c r="AC8" t="s">
        <v>25</v>
      </c>
      <c r="AD8">
        <v>14</v>
      </c>
      <c r="AE8">
        <v>9</v>
      </c>
      <c r="AF8">
        <v>7</v>
      </c>
      <c r="AG8">
        <v>4</v>
      </c>
      <c r="AH8">
        <v>2</v>
      </c>
      <c r="AI8">
        <v>10</v>
      </c>
      <c r="AJ8">
        <v>2</v>
      </c>
      <c r="AK8">
        <v>13</v>
      </c>
      <c r="AL8">
        <v>8</v>
      </c>
      <c r="AM8" s="2">
        <v>100</v>
      </c>
    </row>
    <row r="9" spans="1:39" x14ac:dyDescent="0.2">
      <c r="A9">
        <v>32</v>
      </c>
      <c r="B9" t="s">
        <v>22</v>
      </c>
      <c r="C9">
        <v>138.671875</v>
      </c>
      <c r="D9">
        <v>-1.0044703864723501</v>
      </c>
      <c r="E9">
        <v>138.671875</v>
      </c>
      <c r="F9">
        <v>-1.19513683295011</v>
      </c>
      <c r="G9">
        <v>138.671875</v>
      </c>
      <c r="H9">
        <v>-0.92698114922581498</v>
      </c>
      <c r="I9">
        <v>138.671875</v>
      </c>
      <c r="J9">
        <v>-1.08882844333604</v>
      </c>
      <c r="K9">
        <v>203.125</v>
      </c>
      <c r="L9">
        <v>-2.4379549017458699</v>
      </c>
      <c r="M9">
        <v>205.078125</v>
      </c>
      <c r="N9">
        <v>-2.6037944288316299</v>
      </c>
      <c r="O9">
        <f t="shared" si="0"/>
        <v>138.671875</v>
      </c>
      <c r="P9">
        <f t="shared" si="1"/>
        <v>-1.09980360971123</v>
      </c>
      <c r="Q9">
        <f t="shared" si="2"/>
        <v>138.671875</v>
      </c>
      <c r="R9">
        <f t="shared" si="3"/>
        <v>-1.0079047962809276</v>
      </c>
      <c r="S9">
        <f t="shared" si="4"/>
        <v>204.1015625</v>
      </c>
      <c r="T9">
        <f t="shared" si="5"/>
        <v>-2.5208746652887499</v>
      </c>
      <c r="U9">
        <v>0.41584655199999998</v>
      </c>
      <c r="V9">
        <v>52</v>
      </c>
      <c r="W9">
        <v>35</v>
      </c>
      <c r="X9">
        <v>4</v>
      </c>
      <c r="Y9">
        <v>53</v>
      </c>
      <c r="Z9">
        <v>19</v>
      </c>
      <c r="AA9">
        <v>8</v>
      </c>
      <c r="AB9">
        <v>26</v>
      </c>
      <c r="AC9" t="s">
        <v>25</v>
      </c>
      <c r="AD9">
        <v>6</v>
      </c>
      <c r="AE9">
        <v>4</v>
      </c>
      <c r="AF9">
        <v>5</v>
      </c>
      <c r="AG9">
        <v>1</v>
      </c>
      <c r="AH9">
        <v>1</v>
      </c>
      <c r="AI9">
        <v>15</v>
      </c>
      <c r="AJ9">
        <v>0</v>
      </c>
      <c r="AK9">
        <v>11</v>
      </c>
      <c r="AL9">
        <v>10</v>
      </c>
      <c r="AM9" s="2">
        <v>89.2</v>
      </c>
    </row>
    <row r="10" spans="1:39" x14ac:dyDescent="0.2">
      <c r="A10">
        <v>34</v>
      </c>
      <c r="B10" t="s">
        <v>22</v>
      </c>
      <c r="C10">
        <v>97.65625</v>
      </c>
      <c r="D10">
        <v>-5.8266844285173001</v>
      </c>
      <c r="E10">
        <v>97.65625</v>
      </c>
      <c r="F10">
        <v>-6.0192676625612798</v>
      </c>
      <c r="G10">
        <v>99.609375</v>
      </c>
      <c r="H10">
        <v>-6.9261106234091203</v>
      </c>
      <c r="I10">
        <v>99.609375</v>
      </c>
      <c r="J10">
        <v>-7.0390873105224996</v>
      </c>
      <c r="K10">
        <v>242.1875</v>
      </c>
      <c r="L10">
        <v>-2.8940440084148902</v>
      </c>
      <c r="M10">
        <v>222.65625</v>
      </c>
      <c r="N10">
        <v>-3.5246076362672398</v>
      </c>
      <c r="O10">
        <f t="shared" si="0"/>
        <v>97.65625</v>
      </c>
      <c r="P10">
        <f t="shared" si="1"/>
        <v>-5.9229760455392899</v>
      </c>
      <c r="Q10">
        <f t="shared" si="2"/>
        <v>99.609375</v>
      </c>
      <c r="R10">
        <f t="shared" si="3"/>
        <v>-6.98259896696581</v>
      </c>
      <c r="S10">
        <f t="shared" si="4"/>
        <v>232.421875</v>
      </c>
      <c r="T10">
        <f t="shared" si="5"/>
        <v>-3.2093258223410652</v>
      </c>
      <c r="U10">
        <v>0.39839217399999999</v>
      </c>
      <c r="V10">
        <v>44</v>
      </c>
      <c r="W10">
        <v>13</v>
      </c>
      <c r="X10">
        <v>2</v>
      </c>
      <c r="Y10">
        <v>70</v>
      </c>
      <c r="Z10">
        <v>21</v>
      </c>
      <c r="AA10">
        <v>27</v>
      </c>
      <c r="AB10">
        <v>22</v>
      </c>
      <c r="AC10" t="s">
        <v>31</v>
      </c>
      <c r="AD10">
        <v>14</v>
      </c>
      <c r="AE10">
        <v>7</v>
      </c>
      <c r="AF10">
        <v>5</v>
      </c>
      <c r="AG10">
        <v>6</v>
      </c>
      <c r="AH10">
        <v>7</v>
      </c>
      <c r="AI10">
        <v>7</v>
      </c>
      <c r="AJ10">
        <v>4</v>
      </c>
      <c r="AK10">
        <v>15</v>
      </c>
      <c r="AL10">
        <v>5</v>
      </c>
      <c r="AM10" s="2">
        <v>94.7</v>
      </c>
    </row>
    <row r="11" spans="1:39" x14ac:dyDescent="0.2">
      <c r="A11">
        <v>35</v>
      </c>
      <c r="B11" t="s">
        <v>22</v>
      </c>
      <c r="C11">
        <v>138.671875</v>
      </c>
      <c r="D11">
        <v>0.71932837052017695</v>
      </c>
      <c r="E11">
        <v>80.078125</v>
      </c>
      <c r="F11">
        <v>0.909842322154231</v>
      </c>
      <c r="G11">
        <v>138.671875</v>
      </c>
      <c r="H11">
        <v>1.1993372731591001</v>
      </c>
      <c r="I11">
        <v>138.671875</v>
      </c>
      <c r="J11">
        <v>0.74651766021312405</v>
      </c>
      <c r="K11">
        <v>189.453125</v>
      </c>
      <c r="L11">
        <v>-2.9789489234670401</v>
      </c>
      <c r="M11">
        <v>187.5</v>
      </c>
      <c r="N11">
        <v>-1.8317640048916599</v>
      </c>
      <c r="O11">
        <f t="shared" si="0"/>
        <v>109.375</v>
      </c>
      <c r="P11">
        <f t="shared" si="1"/>
        <v>0.81458534633720392</v>
      </c>
      <c r="Q11">
        <f t="shared" si="2"/>
        <v>138.671875</v>
      </c>
      <c r="R11">
        <f t="shared" si="3"/>
        <v>0.97292746668611207</v>
      </c>
      <c r="S11">
        <f t="shared" si="4"/>
        <v>188.4765625</v>
      </c>
      <c r="T11">
        <f t="shared" si="5"/>
        <v>-2.4053564641793499</v>
      </c>
      <c r="U11">
        <v>0.4435944</v>
      </c>
      <c r="V11">
        <v>47</v>
      </c>
      <c r="W11">
        <v>31</v>
      </c>
      <c r="X11">
        <v>3.2</v>
      </c>
      <c r="Y11">
        <v>59</v>
      </c>
      <c r="Z11">
        <v>28</v>
      </c>
      <c r="AA11">
        <v>5</v>
      </c>
      <c r="AB11">
        <v>26</v>
      </c>
      <c r="AC11" t="s">
        <v>25</v>
      </c>
      <c r="AD11">
        <v>5</v>
      </c>
      <c r="AE11">
        <v>9</v>
      </c>
      <c r="AF11">
        <v>4</v>
      </c>
      <c r="AG11">
        <v>0</v>
      </c>
      <c r="AH11">
        <v>0</v>
      </c>
      <c r="AI11">
        <v>13</v>
      </c>
      <c r="AJ11">
        <v>7</v>
      </c>
      <c r="AK11">
        <v>13</v>
      </c>
      <c r="AL11">
        <v>8</v>
      </c>
      <c r="AM11" s="2">
        <v>99.7</v>
      </c>
    </row>
    <row r="12" spans="1:39" x14ac:dyDescent="0.2">
      <c r="A12">
        <v>36</v>
      </c>
      <c r="B12" t="s">
        <v>22</v>
      </c>
      <c r="C12">
        <v>125</v>
      </c>
      <c r="D12">
        <v>-3.4628399567126702</v>
      </c>
      <c r="E12">
        <v>123.046875</v>
      </c>
      <c r="F12">
        <v>-4.8415929252805503</v>
      </c>
      <c r="G12">
        <v>136.71875</v>
      </c>
      <c r="H12">
        <v>-1.7780703777004001</v>
      </c>
      <c r="I12">
        <v>132.8125</v>
      </c>
      <c r="J12">
        <v>-3.5595176875788099</v>
      </c>
      <c r="K12">
        <v>228.515625</v>
      </c>
      <c r="L12">
        <v>-2.94539725870235</v>
      </c>
      <c r="M12">
        <v>248.046875</v>
      </c>
      <c r="N12">
        <v>-2.6858242240327699</v>
      </c>
      <c r="O12">
        <f t="shared" si="0"/>
        <v>124.0234375</v>
      </c>
      <c r="P12">
        <f t="shared" si="1"/>
        <v>-4.15221644099661</v>
      </c>
      <c r="Q12">
        <f t="shared" si="2"/>
        <v>134.765625</v>
      </c>
      <c r="R12">
        <f t="shared" si="3"/>
        <v>-2.6687940326396049</v>
      </c>
      <c r="S12">
        <f t="shared" si="4"/>
        <v>238.28125</v>
      </c>
      <c r="T12">
        <f t="shared" si="5"/>
        <v>-2.8156107413675597</v>
      </c>
      <c r="U12">
        <v>0.36399458299999998</v>
      </c>
      <c r="V12">
        <v>58</v>
      </c>
      <c r="W12">
        <v>42</v>
      </c>
      <c r="X12">
        <v>3.9</v>
      </c>
      <c r="Y12">
        <v>57</v>
      </c>
      <c r="Z12">
        <v>21</v>
      </c>
      <c r="AA12">
        <v>16</v>
      </c>
      <c r="AB12">
        <v>20</v>
      </c>
      <c r="AC12" t="s">
        <v>27</v>
      </c>
      <c r="AD12">
        <v>4</v>
      </c>
      <c r="AE12">
        <v>8</v>
      </c>
      <c r="AF12">
        <v>3</v>
      </c>
      <c r="AG12">
        <v>7</v>
      </c>
      <c r="AH12">
        <v>5</v>
      </c>
      <c r="AI12">
        <v>11</v>
      </c>
      <c r="AJ12">
        <v>4</v>
      </c>
      <c r="AK12">
        <v>9</v>
      </c>
      <c r="AL12">
        <v>6</v>
      </c>
      <c r="AM12" s="2">
        <v>100</v>
      </c>
    </row>
    <row r="13" spans="1:39" x14ac:dyDescent="0.2">
      <c r="A13">
        <v>37</v>
      </c>
      <c r="B13" t="s">
        <v>22</v>
      </c>
      <c r="C13">
        <v>125</v>
      </c>
      <c r="D13">
        <v>-1.6880503025987199</v>
      </c>
      <c r="E13">
        <v>126.953125</v>
      </c>
      <c r="F13">
        <v>-2.62210800916773</v>
      </c>
      <c r="G13">
        <v>128.90625</v>
      </c>
      <c r="H13">
        <v>-1.56130166826067</v>
      </c>
      <c r="I13">
        <v>138.671875</v>
      </c>
      <c r="J13">
        <v>-2.8049726220044802</v>
      </c>
      <c r="K13">
        <v>179.6875</v>
      </c>
      <c r="L13">
        <v>-4.1568139780381204</v>
      </c>
      <c r="M13">
        <v>181.640625</v>
      </c>
      <c r="N13">
        <v>-4.3935852494761196</v>
      </c>
      <c r="O13">
        <f t="shared" si="0"/>
        <v>125.9765625</v>
      </c>
      <c r="P13">
        <f t="shared" si="1"/>
        <v>-2.1550791558832252</v>
      </c>
      <c r="Q13">
        <f t="shared" si="2"/>
        <v>133.7890625</v>
      </c>
      <c r="R13">
        <f t="shared" si="3"/>
        <v>-2.1831371451325752</v>
      </c>
      <c r="S13">
        <f t="shared" si="4"/>
        <v>180.6640625</v>
      </c>
      <c r="T13">
        <f t="shared" si="5"/>
        <v>-4.2751996137571204</v>
      </c>
      <c r="U13">
        <v>0.40883416700000003</v>
      </c>
      <c r="V13">
        <v>55</v>
      </c>
      <c r="W13">
        <v>30</v>
      </c>
      <c r="X13">
        <v>3.25</v>
      </c>
      <c r="Y13">
        <v>56</v>
      </c>
      <c r="Z13">
        <v>30</v>
      </c>
      <c r="AA13">
        <v>1</v>
      </c>
      <c r="AB13">
        <v>25</v>
      </c>
      <c r="AC13" t="s">
        <v>25</v>
      </c>
      <c r="AD13">
        <v>0</v>
      </c>
      <c r="AE13">
        <v>8</v>
      </c>
      <c r="AF13">
        <v>4</v>
      </c>
      <c r="AG13">
        <v>0</v>
      </c>
      <c r="AH13">
        <v>1</v>
      </c>
      <c r="AI13">
        <v>12</v>
      </c>
      <c r="AJ13">
        <v>10</v>
      </c>
      <c r="AK13">
        <v>13</v>
      </c>
      <c r="AL13">
        <v>8</v>
      </c>
      <c r="AM13" s="2">
        <v>100</v>
      </c>
    </row>
    <row r="14" spans="1:39" x14ac:dyDescent="0.2">
      <c r="A14">
        <v>38</v>
      </c>
      <c r="B14" t="s">
        <v>22</v>
      </c>
      <c r="C14">
        <v>136.71875</v>
      </c>
      <c r="D14">
        <v>-1.4860938886880899</v>
      </c>
      <c r="E14">
        <v>136.71875</v>
      </c>
      <c r="F14">
        <v>-1.34619374021687</v>
      </c>
      <c r="G14">
        <v>130.859375</v>
      </c>
      <c r="H14">
        <v>-1.8529576277348001</v>
      </c>
      <c r="I14">
        <v>128.90625</v>
      </c>
      <c r="J14">
        <v>-2.0874220939177199</v>
      </c>
      <c r="K14">
        <v>171.875</v>
      </c>
      <c r="L14">
        <v>-2.39998598003872</v>
      </c>
      <c r="M14">
        <v>201.171875</v>
      </c>
      <c r="N14">
        <v>-2.6164477865956699</v>
      </c>
      <c r="O14">
        <f t="shared" si="0"/>
        <v>136.71875</v>
      </c>
      <c r="P14">
        <f t="shared" si="1"/>
        <v>-1.4161438144524801</v>
      </c>
      <c r="Q14">
        <f t="shared" si="2"/>
        <v>129.8828125</v>
      </c>
      <c r="R14">
        <f t="shared" si="3"/>
        <v>-1.97018986082626</v>
      </c>
      <c r="S14">
        <f t="shared" si="4"/>
        <v>186.5234375</v>
      </c>
      <c r="T14">
        <f t="shared" si="5"/>
        <v>-2.5082168833171949</v>
      </c>
      <c r="U14">
        <v>0.46509851899999999</v>
      </c>
      <c r="V14">
        <v>56</v>
      </c>
      <c r="W14">
        <v>32</v>
      </c>
      <c r="X14">
        <v>3.8</v>
      </c>
      <c r="Y14">
        <v>59</v>
      </c>
      <c r="Z14">
        <v>22</v>
      </c>
      <c r="AA14">
        <v>17</v>
      </c>
      <c r="AB14">
        <v>20</v>
      </c>
      <c r="AC14" t="s">
        <v>27</v>
      </c>
      <c r="AD14">
        <v>8</v>
      </c>
      <c r="AE14">
        <v>7</v>
      </c>
      <c r="AF14">
        <v>6</v>
      </c>
      <c r="AG14">
        <v>3</v>
      </c>
      <c r="AH14">
        <v>6</v>
      </c>
      <c r="AI14">
        <v>9</v>
      </c>
      <c r="AJ14">
        <v>4</v>
      </c>
      <c r="AK14">
        <v>11</v>
      </c>
      <c r="AL14">
        <v>5</v>
      </c>
      <c r="AM14" s="2">
        <v>99.7</v>
      </c>
    </row>
    <row r="15" spans="1:39" x14ac:dyDescent="0.2">
      <c r="A15">
        <v>40</v>
      </c>
      <c r="B15" t="s">
        <v>22</v>
      </c>
      <c r="C15">
        <v>123.046875</v>
      </c>
      <c r="D15">
        <v>-1.96996062937845</v>
      </c>
      <c r="E15">
        <v>111.328125</v>
      </c>
      <c r="F15">
        <v>-2.70145683431952</v>
      </c>
      <c r="G15">
        <v>128.90625</v>
      </c>
      <c r="H15">
        <v>-2.12414003356673</v>
      </c>
      <c r="I15">
        <v>101.5625</v>
      </c>
      <c r="J15">
        <v>-3.38399876173591</v>
      </c>
      <c r="K15">
        <v>187.5</v>
      </c>
      <c r="L15">
        <v>-1.77504070265077</v>
      </c>
      <c r="M15">
        <v>150.390625</v>
      </c>
      <c r="N15">
        <v>-1.3419200030051099</v>
      </c>
      <c r="O15">
        <f t="shared" si="0"/>
        <v>117.1875</v>
      </c>
      <c r="P15">
        <f t="shared" si="1"/>
        <v>-2.3357087318489849</v>
      </c>
      <c r="Q15">
        <f t="shared" si="2"/>
        <v>115.234375</v>
      </c>
      <c r="R15">
        <f t="shared" si="3"/>
        <v>-2.7540693976513202</v>
      </c>
      <c r="S15">
        <f t="shared" si="4"/>
        <v>168.9453125</v>
      </c>
      <c r="T15">
        <f t="shared" si="5"/>
        <v>-1.5584803528279401</v>
      </c>
      <c r="U15">
        <v>0.42174045500000001</v>
      </c>
      <c r="V15">
        <v>47</v>
      </c>
      <c r="W15">
        <v>22</v>
      </c>
      <c r="X15">
        <v>3.75</v>
      </c>
      <c r="Y15">
        <v>51</v>
      </c>
      <c r="Z15">
        <v>24</v>
      </c>
      <c r="AA15">
        <v>13</v>
      </c>
      <c r="AB15">
        <v>14</v>
      </c>
      <c r="AC15" t="s">
        <v>27</v>
      </c>
      <c r="AD15">
        <v>10</v>
      </c>
      <c r="AE15">
        <v>7</v>
      </c>
      <c r="AF15">
        <v>3</v>
      </c>
      <c r="AG15">
        <v>2</v>
      </c>
      <c r="AH15">
        <v>1</v>
      </c>
      <c r="AI15">
        <v>6</v>
      </c>
      <c r="AJ15">
        <v>11</v>
      </c>
      <c r="AK15">
        <v>8</v>
      </c>
      <c r="AL15">
        <v>3</v>
      </c>
      <c r="AM15" s="2">
        <v>99.8</v>
      </c>
    </row>
    <row r="16" spans="1:39" x14ac:dyDescent="0.2">
      <c r="A16">
        <v>41</v>
      </c>
      <c r="B16" t="s">
        <v>22</v>
      </c>
      <c r="C16">
        <v>121.09375</v>
      </c>
      <c r="D16">
        <v>-0.79713229496932503</v>
      </c>
      <c r="E16">
        <v>113.28125</v>
      </c>
      <c r="F16">
        <v>-0.28297673905895299</v>
      </c>
      <c r="G16">
        <v>117.1875</v>
      </c>
      <c r="H16">
        <v>-9.0953030313911901E-2</v>
      </c>
      <c r="I16">
        <v>111.328125</v>
      </c>
      <c r="J16">
        <v>-0.493884877855719</v>
      </c>
      <c r="K16">
        <v>224.609375</v>
      </c>
      <c r="L16">
        <v>-1.1722253364017401</v>
      </c>
      <c r="M16">
        <v>179.6875</v>
      </c>
      <c r="N16">
        <v>-1.4209036519901601</v>
      </c>
      <c r="O16">
        <f t="shared" si="0"/>
        <v>117.1875</v>
      </c>
      <c r="P16">
        <f t="shared" si="1"/>
        <v>-0.54005451701413898</v>
      </c>
      <c r="Q16">
        <f t="shared" si="2"/>
        <v>114.2578125</v>
      </c>
      <c r="R16">
        <f t="shared" si="3"/>
        <v>-0.29241895408481544</v>
      </c>
      <c r="S16">
        <f t="shared" si="4"/>
        <v>202.1484375</v>
      </c>
      <c r="T16">
        <f t="shared" si="5"/>
        <v>-1.29656449419595</v>
      </c>
      <c r="U16">
        <v>0.40930041700000003</v>
      </c>
      <c r="V16">
        <v>59</v>
      </c>
      <c r="W16">
        <v>54</v>
      </c>
      <c r="X16">
        <v>4</v>
      </c>
      <c r="Y16">
        <v>63</v>
      </c>
      <c r="Z16">
        <v>26</v>
      </c>
      <c r="AA16">
        <v>14</v>
      </c>
      <c r="AB16">
        <v>23</v>
      </c>
      <c r="AC16" t="s">
        <v>25</v>
      </c>
      <c r="AD16">
        <v>4</v>
      </c>
      <c r="AE16">
        <v>7</v>
      </c>
      <c r="AF16">
        <v>1</v>
      </c>
      <c r="AG16">
        <v>5</v>
      </c>
      <c r="AH16">
        <v>5</v>
      </c>
      <c r="AI16">
        <v>12</v>
      </c>
      <c r="AJ16">
        <v>10</v>
      </c>
      <c r="AK16">
        <v>11</v>
      </c>
      <c r="AL16">
        <v>8</v>
      </c>
      <c r="AM16" s="2">
        <v>99.8</v>
      </c>
    </row>
    <row r="17" spans="1:39" x14ac:dyDescent="0.2">
      <c r="A17">
        <v>43</v>
      </c>
      <c r="B17" t="s">
        <v>22</v>
      </c>
      <c r="C17">
        <v>128.90625</v>
      </c>
      <c r="D17">
        <v>-2.3818142192552898</v>
      </c>
      <c r="E17">
        <v>111.328125</v>
      </c>
      <c r="F17">
        <v>-2.3470775054957298</v>
      </c>
      <c r="G17">
        <v>123.046875</v>
      </c>
      <c r="H17">
        <v>-2.91409422095288</v>
      </c>
      <c r="I17">
        <v>119.140625</v>
      </c>
      <c r="J17">
        <v>-3.2768985939839501</v>
      </c>
      <c r="K17">
        <v>150.390625</v>
      </c>
      <c r="L17">
        <v>-2.78048819603154</v>
      </c>
      <c r="M17">
        <v>150.390625</v>
      </c>
      <c r="N17">
        <v>-1.2669390489019099</v>
      </c>
      <c r="O17">
        <f t="shared" si="0"/>
        <v>120.1171875</v>
      </c>
      <c r="P17">
        <f t="shared" si="1"/>
        <v>-2.3644458623755096</v>
      </c>
      <c r="Q17">
        <f t="shared" si="2"/>
        <v>121.09375</v>
      </c>
      <c r="R17">
        <f t="shared" si="3"/>
        <v>-3.0954964074684153</v>
      </c>
      <c r="S17">
        <f t="shared" si="4"/>
        <v>150.390625</v>
      </c>
      <c r="T17">
        <f t="shared" si="5"/>
        <v>-2.0237136224667251</v>
      </c>
      <c r="U17">
        <v>0.40870499999999998</v>
      </c>
      <c r="V17">
        <v>47</v>
      </c>
      <c r="W17">
        <v>22</v>
      </c>
      <c r="X17" s="3">
        <v>2.75</v>
      </c>
      <c r="Y17">
        <v>61</v>
      </c>
      <c r="Z17">
        <v>22</v>
      </c>
      <c r="AA17">
        <v>24</v>
      </c>
      <c r="AB17">
        <v>15</v>
      </c>
      <c r="AC17" t="s">
        <v>27</v>
      </c>
      <c r="AD17">
        <v>11</v>
      </c>
      <c r="AE17">
        <v>4</v>
      </c>
      <c r="AF17">
        <v>6</v>
      </c>
      <c r="AG17">
        <v>6</v>
      </c>
      <c r="AH17">
        <v>7</v>
      </c>
      <c r="AI17">
        <v>3</v>
      </c>
      <c r="AJ17">
        <v>8</v>
      </c>
      <c r="AK17">
        <v>12</v>
      </c>
      <c r="AL17">
        <v>4</v>
      </c>
      <c r="AM17" s="2">
        <v>100</v>
      </c>
    </row>
    <row r="18" spans="1:39" x14ac:dyDescent="0.2">
      <c r="A18">
        <v>44</v>
      </c>
      <c r="B18" t="s">
        <v>22</v>
      </c>
      <c r="C18">
        <v>111.328125</v>
      </c>
      <c r="D18">
        <v>-0.72542990388820805</v>
      </c>
      <c r="E18">
        <v>111.328125</v>
      </c>
      <c r="F18">
        <v>-0.86299916934327503</v>
      </c>
      <c r="G18">
        <v>138.671875</v>
      </c>
      <c r="H18">
        <v>-1.04337934541029</v>
      </c>
      <c r="I18">
        <v>115.234375</v>
      </c>
      <c r="J18">
        <v>-0.98390129489037303</v>
      </c>
      <c r="K18">
        <v>164.0625</v>
      </c>
      <c r="L18">
        <v>-3.0894159050214398</v>
      </c>
      <c r="M18">
        <v>205.078125</v>
      </c>
      <c r="N18">
        <v>-2.8525244837137498</v>
      </c>
      <c r="O18">
        <f t="shared" si="0"/>
        <v>111.328125</v>
      </c>
      <c r="P18">
        <f t="shared" si="1"/>
        <v>-0.7942145366157416</v>
      </c>
      <c r="Q18">
        <f t="shared" si="2"/>
        <v>126.953125</v>
      </c>
      <c r="R18">
        <f t="shared" si="3"/>
        <v>-1.0136403201503315</v>
      </c>
      <c r="S18">
        <f t="shared" si="4"/>
        <v>184.5703125</v>
      </c>
      <c r="T18">
        <f t="shared" si="5"/>
        <v>-2.9709701943675948</v>
      </c>
      <c r="U18">
        <v>0.39576629600000002</v>
      </c>
      <c r="V18">
        <v>60</v>
      </c>
      <c r="W18">
        <v>27</v>
      </c>
      <c r="X18">
        <v>3.6</v>
      </c>
      <c r="Y18">
        <v>68</v>
      </c>
      <c r="Z18">
        <v>24</v>
      </c>
      <c r="AA18">
        <v>24</v>
      </c>
      <c r="AB18">
        <v>20</v>
      </c>
      <c r="AC18" t="s">
        <v>27</v>
      </c>
      <c r="AD18">
        <v>11</v>
      </c>
      <c r="AE18">
        <v>6</v>
      </c>
      <c r="AF18">
        <v>5</v>
      </c>
      <c r="AG18">
        <v>6</v>
      </c>
      <c r="AH18">
        <v>7</v>
      </c>
      <c r="AI18">
        <v>8</v>
      </c>
      <c r="AJ18">
        <v>7</v>
      </c>
      <c r="AK18">
        <v>12</v>
      </c>
      <c r="AL18">
        <v>6</v>
      </c>
      <c r="AM18" s="2">
        <v>98.4</v>
      </c>
    </row>
    <row r="19" spans="1:39" x14ac:dyDescent="0.2">
      <c r="A19">
        <v>45</v>
      </c>
      <c r="B19" t="s">
        <v>22</v>
      </c>
      <c r="C19">
        <v>138.671875</v>
      </c>
      <c r="D19">
        <v>-0.71457242606994797</v>
      </c>
      <c r="E19">
        <v>123.046875</v>
      </c>
      <c r="F19">
        <v>-0.47174399395051098</v>
      </c>
      <c r="G19">
        <v>138.671875</v>
      </c>
      <c r="H19">
        <v>-2.7189738946453699</v>
      </c>
      <c r="I19">
        <v>134.765625</v>
      </c>
      <c r="J19">
        <v>-2.1524885096728701</v>
      </c>
      <c r="K19">
        <v>189.453125</v>
      </c>
      <c r="L19">
        <v>-2.6819899011442998</v>
      </c>
      <c r="M19">
        <v>193.359375</v>
      </c>
      <c r="N19">
        <v>-1.05172134459306</v>
      </c>
      <c r="O19">
        <f t="shared" si="0"/>
        <v>130.859375</v>
      </c>
      <c r="P19">
        <f t="shared" si="1"/>
        <v>-0.5931582100102295</v>
      </c>
      <c r="Q19">
        <f t="shared" si="2"/>
        <v>136.71875</v>
      </c>
      <c r="R19">
        <f t="shared" si="3"/>
        <v>-2.4357312021591202</v>
      </c>
      <c r="S19">
        <f t="shared" si="4"/>
        <v>191.40625</v>
      </c>
      <c r="T19">
        <f t="shared" si="5"/>
        <v>-1.8668556228686799</v>
      </c>
      <c r="U19">
        <v>0.38718760000000002</v>
      </c>
      <c r="V19">
        <v>55</v>
      </c>
      <c r="W19">
        <v>15</v>
      </c>
      <c r="X19">
        <v>3.75</v>
      </c>
      <c r="Y19">
        <v>53</v>
      </c>
      <c r="Z19">
        <v>24</v>
      </c>
      <c r="AA19">
        <v>10</v>
      </c>
      <c r="AB19">
        <v>19</v>
      </c>
      <c r="AC19" t="s">
        <v>27</v>
      </c>
      <c r="AD19">
        <v>6</v>
      </c>
      <c r="AE19">
        <v>7</v>
      </c>
      <c r="AF19">
        <v>4</v>
      </c>
      <c r="AG19">
        <v>0</v>
      </c>
      <c r="AH19">
        <v>4</v>
      </c>
      <c r="AI19">
        <v>7</v>
      </c>
      <c r="AJ19">
        <v>6</v>
      </c>
      <c r="AK19">
        <v>12</v>
      </c>
      <c r="AL19">
        <v>7</v>
      </c>
      <c r="AM19" s="2">
        <v>97.6</v>
      </c>
    </row>
    <row r="20" spans="1:39" x14ac:dyDescent="0.2">
      <c r="A20">
        <v>46</v>
      </c>
      <c r="B20" t="s">
        <v>22</v>
      </c>
      <c r="C20">
        <v>128.90625</v>
      </c>
      <c r="D20">
        <v>1.8953449031946299</v>
      </c>
      <c r="E20">
        <v>123.046875</v>
      </c>
      <c r="F20">
        <v>0.44673889324580901</v>
      </c>
      <c r="G20">
        <v>80.078125</v>
      </c>
      <c r="H20">
        <v>2.3061328487563202</v>
      </c>
      <c r="I20">
        <v>80.078125</v>
      </c>
      <c r="J20">
        <v>2.0334627239138801</v>
      </c>
      <c r="K20">
        <v>169.921875</v>
      </c>
      <c r="L20">
        <v>-0.66054636786453003</v>
      </c>
      <c r="M20">
        <v>191.40625</v>
      </c>
      <c r="N20">
        <v>-1.2920149890967001</v>
      </c>
      <c r="O20">
        <f t="shared" si="0"/>
        <v>125.9765625</v>
      </c>
      <c r="P20">
        <f t="shared" si="1"/>
        <v>1.1710418982202195</v>
      </c>
      <c r="Q20">
        <f t="shared" si="2"/>
        <v>80.078125</v>
      </c>
      <c r="R20">
        <f t="shared" si="3"/>
        <v>2.1697977863351001</v>
      </c>
      <c r="S20">
        <f t="shared" si="4"/>
        <v>180.6640625</v>
      </c>
      <c r="T20">
        <f t="shared" si="5"/>
        <v>-0.97628067848061506</v>
      </c>
      <c r="U20">
        <v>0.37419708299999999</v>
      </c>
      <c r="V20">
        <v>39</v>
      </c>
      <c r="W20">
        <v>17</v>
      </c>
      <c r="X20">
        <v>3.7</v>
      </c>
      <c r="Y20">
        <v>70</v>
      </c>
      <c r="Z20">
        <v>28</v>
      </c>
      <c r="AA20">
        <v>20</v>
      </c>
      <c r="AB20">
        <v>22</v>
      </c>
      <c r="AC20" t="s">
        <v>23</v>
      </c>
      <c r="AD20">
        <v>10</v>
      </c>
      <c r="AE20">
        <v>8</v>
      </c>
      <c r="AF20">
        <v>7</v>
      </c>
      <c r="AG20">
        <v>4</v>
      </c>
      <c r="AH20">
        <v>6</v>
      </c>
      <c r="AI20">
        <v>8</v>
      </c>
      <c r="AJ20">
        <v>6</v>
      </c>
      <c r="AK20">
        <v>14</v>
      </c>
      <c r="AL20">
        <v>7</v>
      </c>
      <c r="AM20" s="2">
        <v>99.8</v>
      </c>
    </row>
    <row r="21" spans="1:39" x14ac:dyDescent="0.2">
      <c r="A21">
        <v>60</v>
      </c>
      <c r="B21" t="s">
        <v>22</v>
      </c>
      <c r="C21">
        <v>136.71875</v>
      </c>
      <c r="D21">
        <v>-1.6972935892169201</v>
      </c>
      <c r="E21">
        <v>134.765625</v>
      </c>
      <c r="F21">
        <v>-1.9674496472749201</v>
      </c>
      <c r="G21">
        <v>132.8125</v>
      </c>
      <c r="H21">
        <v>-2.55989416336118</v>
      </c>
      <c r="I21">
        <v>138.671875</v>
      </c>
      <c r="J21">
        <v>-2.7241633517168098</v>
      </c>
      <c r="K21">
        <v>189.453125</v>
      </c>
      <c r="L21">
        <v>-4.0116883171550803</v>
      </c>
      <c r="M21">
        <v>189.453125</v>
      </c>
      <c r="N21">
        <v>-3.7244520651814099</v>
      </c>
      <c r="O21">
        <f t="shared" si="0"/>
        <v>135.7421875</v>
      </c>
      <c r="P21">
        <f t="shared" si="1"/>
        <v>-1.83237161824592</v>
      </c>
      <c r="Q21">
        <f t="shared" si="2"/>
        <v>135.7421875</v>
      </c>
      <c r="R21">
        <f t="shared" si="3"/>
        <v>-2.6420287575389949</v>
      </c>
      <c r="S21">
        <f t="shared" si="4"/>
        <v>189.453125</v>
      </c>
      <c r="T21">
        <f t="shared" si="5"/>
        <v>-3.8680701911682451</v>
      </c>
      <c r="U21">
        <v>0.349315769</v>
      </c>
      <c r="V21">
        <v>37</v>
      </c>
      <c r="W21">
        <v>14</v>
      </c>
      <c r="X21">
        <v>3.75</v>
      </c>
      <c r="Y21">
        <v>57</v>
      </c>
      <c r="Z21">
        <v>21</v>
      </c>
      <c r="AA21">
        <v>20</v>
      </c>
      <c r="AB21">
        <v>16</v>
      </c>
      <c r="AC21" t="s">
        <v>27</v>
      </c>
      <c r="AD21">
        <v>8</v>
      </c>
      <c r="AE21">
        <v>6</v>
      </c>
      <c r="AF21">
        <v>5</v>
      </c>
      <c r="AG21">
        <v>6</v>
      </c>
      <c r="AH21">
        <v>6</v>
      </c>
      <c r="AI21">
        <v>4</v>
      </c>
      <c r="AJ21">
        <v>4</v>
      </c>
      <c r="AK21">
        <v>12</v>
      </c>
      <c r="AL21">
        <v>6</v>
      </c>
      <c r="AM21" s="2">
        <v>100</v>
      </c>
    </row>
    <row r="22" spans="1:39" x14ac:dyDescent="0.2">
      <c r="A22">
        <v>61</v>
      </c>
      <c r="B22" t="s">
        <v>22</v>
      </c>
      <c r="C22">
        <v>126.953125</v>
      </c>
      <c r="D22">
        <v>-2.05933074490998</v>
      </c>
      <c r="E22">
        <v>121.09375</v>
      </c>
      <c r="F22">
        <v>-2.3154674723893001</v>
      </c>
      <c r="G22">
        <v>126.953125</v>
      </c>
      <c r="H22">
        <v>-1.3785151534642599</v>
      </c>
      <c r="I22">
        <v>123.046875</v>
      </c>
      <c r="J22">
        <v>-2.0664935168963701</v>
      </c>
      <c r="K22">
        <v>179.6875</v>
      </c>
      <c r="L22">
        <v>-0.430563647194455</v>
      </c>
      <c r="M22">
        <v>207.03125</v>
      </c>
      <c r="N22">
        <v>-0.72836911032013096</v>
      </c>
      <c r="O22">
        <f t="shared" si="0"/>
        <v>124.0234375</v>
      </c>
      <c r="P22">
        <f t="shared" si="1"/>
        <v>-2.18739910864964</v>
      </c>
      <c r="Q22">
        <f t="shared" si="2"/>
        <v>125</v>
      </c>
      <c r="R22">
        <f t="shared" si="3"/>
        <v>-1.7225043351803149</v>
      </c>
      <c r="S22">
        <f t="shared" si="4"/>
        <v>193.359375</v>
      </c>
      <c r="T22">
        <f t="shared" si="5"/>
        <v>-0.57946637875729301</v>
      </c>
      <c r="U22">
        <v>0.46724310299999999</v>
      </c>
      <c r="V22">
        <v>52</v>
      </c>
      <c r="W22">
        <v>19</v>
      </c>
      <c r="X22">
        <v>3.5</v>
      </c>
      <c r="Y22">
        <v>56</v>
      </c>
      <c r="Z22">
        <v>20</v>
      </c>
      <c r="AA22">
        <v>16</v>
      </c>
      <c r="AB22">
        <v>20</v>
      </c>
      <c r="AC22" t="s">
        <v>27</v>
      </c>
      <c r="AD22">
        <v>8</v>
      </c>
      <c r="AE22">
        <v>9</v>
      </c>
      <c r="AF22">
        <v>8</v>
      </c>
      <c r="AG22">
        <v>3</v>
      </c>
      <c r="AH22">
        <v>5</v>
      </c>
      <c r="AI22">
        <v>5</v>
      </c>
      <c r="AJ22">
        <v>0</v>
      </c>
      <c r="AK22">
        <v>15</v>
      </c>
      <c r="AL22">
        <v>3</v>
      </c>
      <c r="AM22" s="2">
        <v>100</v>
      </c>
    </row>
    <row r="23" spans="1:39" x14ac:dyDescent="0.2">
      <c r="A23">
        <v>63</v>
      </c>
      <c r="B23" t="s">
        <v>22</v>
      </c>
      <c r="C23">
        <v>138.671875</v>
      </c>
      <c r="D23">
        <v>-0.438731077411191</v>
      </c>
      <c r="E23">
        <v>138.671875</v>
      </c>
      <c r="F23">
        <v>-0.41448838481662897</v>
      </c>
      <c r="G23">
        <v>138.671875</v>
      </c>
      <c r="H23">
        <v>-2.2601498966068601</v>
      </c>
      <c r="I23">
        <v>138.671875</v>
      </c>
      <c r="J23">
        <v>-2.4524547715952401</v>
      </c>
      <c r="K23">
        <v>222.65625</v>
      </c>
      <c r="L23">
        <v>-1.5861644379661</v>
      </c>
      <c r="M23">
        <v>164.0625</v>
      </c>
      <c r="N23">
        <v>-1.40439783830465</v>
      </c>
      <c r="O23">
        <f t="shared" si="0"/>
        <v>138.671875</v>
      </c>
      <c r="P23">
        <f t="shared" si="1"/>
        <v>-0.42660973111390998</v>
      </c>
      <c r="Q23">
        <f t="shared" si="2"/>
        <v>138.671875</v>
      </c>
      <c r="R23">
        <f t="shared" si="3"/>
        <v>-2.3563023341010503</v>
      </c>
      <c r="S23">
        <f t="shared" si="4"/>
        <v>193.359375</v>
      </c>
      <c r="T23">
        <f t="shared" si="5"/>
        <v>-1.495281138135375</v>
      </c>
      <c r="U23">
        <v>0.44197799999999998</v>
      </c>
      <c r="V23">
        <v>52</v>
      </c>
      <c r="W23">
        <v>20</v>
      </c>
      <c r="X23">
        <v>3.5</v>
      </c>
      <c r="Y23">
        <v>66</v>
      </c>
      <c r="Z23">
        <v>27</v>
      </c>
      <c r="AA23">
        <v>16</v>
      </c>
      <c r="AB23">
        <v>23</v>
      </c>
      <c r="AC23" t="s">
        <v>25</v>
      </c>
      <c r="AD23">
        <v>10</v>
      </c>
      <c r="AE23">
        <v>8</v>
      </c>
      <c r="AF23">
        <v>7</v>
      </c>
      <c r="AG23">
        <v>4</v>
      </c>
      <c r="AH23">
        <v>2</v>
      </c>
      <c r="AI23">
        <v>11</v>
      </c>
      <c r="AJ23">
        <v>5</v>
      </c>
      <c r="AK23">
        <v>12</v>
      </c>
      <c r="AL23">
        <v>7</v>
      </c>
      <c r="AM23" s="2">
        <v>99.8</v>
      </c>
    </row>
    <row r="24" spans="1:39" x14ac:dyDescent="0.2">
      <c r="A24">
        <v>65</v>
      </c>
      <c r="B24" t="s">
        <v>22</v>
      </c>
      <c r="C24">
        <v>138.671875</v>
      </c>
      <c r="D24">
        <v>-0.44698722056474599</v>
      </c>
      <c r="E24">
        <v>138.671875</v>
      </c>
      <c r="F24">
        <v>-4.89414805733972E-2</v>
      </c>
      <c r="G24">
        <v>138.671875</v>
      </c>
      <c r="H24">
        <v>-7.2818122519769005E-2</v>
      </c>
      <c r="I24">
        <v>138.671875</v>
      </c>
      <c r="J24">
        <v>0.49743372110978601</v>
      </c>
      <c r="K24">
        <v>232.421875</v>
      </c>
      <c r="L24">
        <v>-3.20535377593882</v>
      </c>
      <c r="M24">
        <v>230.46875</v>
      </c>
      <c r="N24">
        <v>-3.7206568331872498</v>
      </c>
      <c r="O24">
        <f t="shared" si="0"/>
        <v>138.671875</v>
      </c>
      <c r="P24">
        <f t="shared" si="1"/>
        <v>-0.2479643505690716</v>
      </c>
      <c r="Q24">
        <f t="shared" si="2"/>
        <v>138.671875</v>
      </c>
      <c r="R24">
        <f t="shared" si="3"/>
        <v>0.21230779929500851</v>
      </c>
      <c r="S24">
        <f t="shared" si="4"/>
        <v>231.4453125</v>
      </c>
      <c r="T24">
        <f t="shared" si="5"/>
        <v>-3.4630053045630351</v>
      </c>
      <c r="U24">
        <v>0.39435541699999999</v>
      </c>
      <c r="V24">
        <v>53</v>
      </c>
      <c r="W24">
        <v>29</v>
      </c>
      <c r="X24">
        <v>3.2</v>
      </c>
      <c r="Y24">
        <v>63</v>
      </c>
      <c r="Z24">
        <v>20</v>
      </c>
      <c r="AA24">
        <v>24</v>
      </c>
      <c r="AB24">
        <v>19</v>
      </c>
      <c r="AC24" t="s">
        <v>27</v>
      </c>
      <c r="AD24">
        <v>11</v>
      </c>
      <c r="AE24">
        <v>7</v>
      </c>
      <c r="AF24">
        <v>3</v>
      </c>
      <c r="AG24">
        <v>4</v>
      </c>
      <c r="AH24">
        <v>9</v>
      </c>
      <c r="AI24">
        <v>10</v>
      </c>
      <c r="AJ24">
        <v>2</v>
      </c>
      <c r="AK24">
        <v>9</v>
      </c>
      <c r="AL24">
        <v>8</v>
      </c>
      <c r="AM24" s="2">
        <v>99.7</v>
      </c>
    </row>
    <row r="25" spans="1:39" x14ac:dyDescent="0.2">
      <c r="A25">
        <v>72</v>
      </c>
      <c r="B25" t="s">
        <v>22</v>
      </c>
      <c r="C25">
        <v>99.609375</v>
      </c>
      <c r="D25">
        <v>-2.1674134665341702</v>
      </c>
      <c r="E25">
        <v>99.609375</v>
      </c>
      <c r="F25">
        <v>-1.8229683172190501</v>
      </c>
      <c r="G25">
        <v>109.375</v>
      </c>
      <c r="H25">
        <v>-3.6956852213395203E-2</v>
      </c>
      <c r="I25">
        <v>130.859375</v>
      </c>
      <c r="J25">
        <v>-1.4429501165611101</v>
      </c>
      <c r="K25">
        <v>191.40625</v>
      </c>
      <c r="L25">
        <v>-0.88749876693937202</v>
      </c>
      <c r="M25">
        <v>177.734375</v>
      </c>
      <c r="N25">
        <v>-1.7090559715043401</v>
      </c>
      <c r="O25">
        <f t="shared" si="0"/>
        <v>99.609375</v>
      </c>
      <c r="P25">
        <f t="shared" si="1"/>
        <v>-1.9951908918766101</v>
      </c>
      <c r="Q25">
        <f t="shared" si="2"/>
        <v>120.1171875</v>
      </c>
      <c r="R25">
        <f t="shared" si="3"/>
        <v>-0.73995348438725261</v>
      </c>
      <c r="S25">
        <f t="shared" si="4"/>
        <v>184.5703125</v>
      </c>
      <c r="T25">
        <f t="shared" si="5"/>
        <v>-1.2982773692218561</v>
      </c>
      <c r="U25">
        <v>0.33851458299999998</v>
      </c>
      <c r="V25">
        <v>50</v>
      </c>
      <c r="W25">
        <v>34</v>
      </c>
      <c r="X25">
        <v>4</v>
      </c>
      <c r="Y25">
        <v>70</v>
      </c>
      <c r="Z25">
        <v>28</v>
      </c>
      <c r="AA25">
        <v>24</v>
      </c>
      <c r="AB25">
        <v>18</v>
      </c>
      <c r="AC25" t="s">
        <v>27</v>
      </c>
      <c r="AD25">
        <v>12</v>
      </c>
      <c r="AE25">
        <v>6</v>
      </c>
      <c r="AF25">
        <v>6</v>
      </c>
      <c r="AG25">
        <v>8</v>
      </c>
      <c r="AH25">
        <v>4</v>
      </c>
      <c r="AI25">
        <v>5</v>
      </c>
      <c r="AJ25">
        <v>6</v>
      </c>
      <c r="AK25">
        <v>13</v>
      </c>
      <c r="AL25">
        <v>10</v>
      </c>
      <c r="AM25" s="2">
        <v>99.7</v>
      </c>
    </row>
    <row r="26" spans="1:39" x14ac:dyDescent="0.2">
      <c r="A26">
        <v>73</v>
      </c>
      <c r="B26" t="s">
        <v>22</v>
      </c>
      <c r="C26">
        <v>138.671875</v>
      </c>
      <c r="D26">
        <v>0.70159604867590497</v>
      </c>
      <c r="E26">
        <v>138.671875</v>
      </c>
      <c r="F26">
        <v>0.43936929304001898</v>
      </c>
      <c r="G26">
        <v>138.671875</v>
      </c>
      <c r="H26">
        <v>-0.20884934868709601</v>
      </c>
      <c r="I26">
        <v>138.671875</v>
      </c>
      <c r="J26">
        <v>-1.14089103911918</v>
      </c>
      <c r="K26">
        <v>173.828125</v>
      </c>
      <c r="L26">
        <v>-3.3173089120327202</v>
      </c>
      <c r="M26">
        <v>171.875</v>
      </c>
      <c r="N26">
        <v>-2.5473676760808002</v>
      </c>
      <c r="O26">
        <f t="shared" si="0"/>
        <v>138.671875</v>
      </c>
      <c r="P26">
        <f t="shared" si="1"/>
        <v>0.570482670857962</v>
      </c>
      <c r="Q26">
        <f t="shared" si="2"/>
        <v>138.671875</v>
      </c>
      <c r="R26">
        <f t="shared" si="3"/>
        <v>-0.67487019390313796</v>
      </c>
      <c r="S26">
        <f t="shared" si="4"/>
        <v>172.8515625</v>
      </c>
      <c r="T26">
        <f t="shared" si="5"/>
        <v>-2.9323382940567599</v>
      </c>
      <c r="U26">
        <v>0.39151291666666699</v>
      </c>
      <c r="V26">
        <v>45</v>
      </c>
      <c r="W26">
        <v>27</v>
      </c>
      <c r="X26" s="3">
        <v>3.7</v>
      </c>
      <c r="Y26">
        <v>53</v>
      </c>
      <c r="Z26">
        <v>19</v>
      </c>
      <c r="AA26">
        <v>18</v>
      </c>
      <c r="AB26">
        <v>16</v>
      </c>
      <c r="AC26" t="s">
        <v>27</v>
      </c>
      <c r="AD26">
        <v>10</v>
      </c>
      <c r="AE26">
        <v>8</v>
      </c>
      <c r="AF26">
        <v>2</v>
      </c>
      <c r="AG26">
        <v>4</v>
      </c>
      <c r="AH26">
        <v>4</v>
      </c>
      <c r="AI26">
        <v>5</v>
      </c>
      <c r="AJ26">
        <v>7</v>
      </c>
      <c r="AK26">
        <v>11</v>
      </c>
      <c r="AL26">
        <v>2</v>
      </c>
      <c r="AM26" s="2">
        <v>100</v>
      </c>
    </row>
    <row r="27" spans="1:39" x14ac:dyDescent="0.2">
      <c r="A27">
        <v>74</v>
      </c>
      <c r="B27" t="s">
        <v>22</v>
      </c>
      <c r="C27">
        <v>107.421875</v>
      </c>
      <c r="D27">
        <v>-3.3168027057575</v>
      </c>
      <c r="E27">
        <v>109.375</v>
      </c>
      <c r="F27">
        <v>-3.4462409827238898</v>
      </c>
      <c r="G27">
        <v>132.8125</v>
      </c>
      <c r="H27">
        <v>-4.3162143094780596</v>
      </c>
      <c r="I27">
        <v>130.859375</v>
      </c>
      <c r="J27">
        <v>-4.5391033620374897</v>
      </c>
      <c r="K27">
        <v>158.203125</v>
      </c>
      <c r="L27">
        <v>-3.5758840142188699</v>
      </c>
      <c r="M27">
        <v>158.203125</v>
      </c>
      <c r="N27">
        <v>-3.0209253064539499</v>
      </c>
      <c r="O27">
        <f t="shared" si="0"/>
        <v>108.3984375</v>
      </c>
      <c r="P27">
        <f t="shared" si="1"/>
        <v>-3.3815218442406949</v>
      </c>
      <c r="Q27">
        <f t="shared" si="2"/>
        <v>131.8359375</v>
      </c>
      <c r="R27">
        <f t="shared" si="3"/>
        <v>-4.4276588357577751</v>
      </c>
      <c r="S27">
        <f t="shared" si="4"/>
        <v>158.203125</v>
      </c>
      <c r="T27">
        <f t="shared" si="5"/>
        <v>-3.2984046603364101</v>
      </c>
      <c r="U27">
        <v>0.360927368421053</v>
      </c>
      <c r="V27">
        <v>54</v>
      </c>
      <c r="W27">
        <v>32</v>
      </c>
      <c r="X27" s="3">
        <v>3.7</v>
      </c>
      <c r="Y27">
        <v>53</v>
      </c>
      <c r="Z27">
        <v>16</v>
      </c>
      <c r="AA27">
        <v>22</v>
      </c>
      <c r="AB27">
        <v>15</v>
      </c>
      <c r="AC27" t="s">
        <v>27</v>
      </c>
      <c r="AD27">
        <v>8</v>
      </c>
      <c r="AE27">
        <v>5</v>
      </c>
      <c r="AF27">
        <v>7</v>
      </c>
      <c r="AG27">
        <v>10</v>
      </c>
      <c r="AH27">
        <v>4</v>
      </c>
      <c r="AI27">
        <v>3</v>
      </c>
      <c r="AJ27">
        <v>0</v>
      </c>
      <c r="AK27">
        <v>12</v>
      </c>
      <c r="AL27">
        <v>4</v>
      </c>
      <c r="AM27" s="2">
        <v>99.5</v>
      </c>
    </row>
    <row r="28" spans="1:39" x14ac:dyDescent="0.2">
      <c r="A28">
        <v>75</v>
      </c>
      <c r="B28" t="s">
        <v>22</v>
      </c>
      <c r="C28">
        <v>119.140625</v>
      </c>
      <c r="D28">
        <v>-1.22054531505395</v>
      </c>
      <c r="E28">
        <v>119.140625</v>
      </c>
      <c r="F28">
        <v>-2.1948379806736198</v>
      </c>
      <c r="G28">
        <v>125</v>
      </c>
      <c r="H28">
        <v>-2.2926411672379898</v>
      </c>
      <c r="I28">
        <v>125</v>
      </c>
      <c r="J28">
        <v>-4.0099503017526201</v>
      </c>
      <c r="K28">
        <v>205.078125</v>
      </c>
      <c r="L28">
        <v>-3.3878953515724701</v>
      </c>
      <c r="M28">
        <v>203.125</v>
      </c>
      <c r="N28">
        <v>-4.2615007978485302</v>
      </c>
      <c r="O28">
        <f t="shared" si="0"/>
        <v>119.140625</v>
      </c>
      <c r="P28">
        <f t="shared" si="1"/>
        <v>-1.7076916478637849</v>
      </c>
      <c r="Q28">
        <f t="shared" si="2"/>
        <v>125</v>
      </c>
      <c r="R28">
        <f t="shared" si="3"/>
        <v>-3.1512957344953048</v>
      </c>
      <c r="S28">
        <f t="shared" si="4"/>
        <v>204.1015625</v>
      </c>
      <c r="T28">
        <f t="shared" si="5"/>
        <v>-3.8246980747105002</v>
      </c>
      <c r="U28">
        <v>0.30578</v>
      </c>
      <c r="V28">
        <v>53</v>
      </c>
      <c r="W28">
        <v>14</v>
      </c>
      <c r="X28">
        <v>3.76</v>
      </c>
      <c r="Y28">
        <v>54</v>
      </c>
      <c r="Z28">
        <v>24</v>
      </c>
      <c r="AA28">
        <v>17</v>
      </c>
      <c r="AB28">
        <v>13</v>
      </c>
      <c r="AC28" t="s">
        <v>27</v>
      </c>
      <c r="AD28">
        <v>8</v>
      </c>
      <c r="AE28">
        <v>6</v>
      </c>
      <c r="AF28">
        <v>3</v>
      </c>
      <c r="AG28">
        <v>3</v>
      </c>
      <c r="AH28">
        <v>6</v>
      </c>
      <c r="AI28">
        <v>3</v>
      </c>
      <c r="AJ28">
        <v>8</v>
      </c>
      <c r="AK28">
        <v>10</v>
      </c>
      <c r="AL28">
        <v>7</v>
      </c>
      <c r="AM28" s="2">
        <v>96.5</v>
      </c>
    </row>
    <row r="29" spans="1:39" x14ac:dyDescent="0.2">
      <c r="A29">
        <v>77</v>
      </c>
      <c r="B29" t="s">
        <v>22</v>
      </c>
      <c r="C29">
        <v>132.8125</v>
      </c>
      <c r="D29">
        <v>-5.9624742122209202</v>
      </c>
      <c r="E29">
        <v>128.90625</v>
      </c>
      <c r="F29">
        <v>-6.1061809374475704</v>
      </c>
      <c r="G29">
        <v>138.671875</v>
      </c>
      <c r="H29">
        <v>-9.1619523116159307</v>
      </c>
      <c r="I29">
        <v>138.671875</v>
      </c>
      <c r="J29">
        <v>-8.40752837943303</v>
      </c>
      <c r="K29">
        <v>164.0625</v>
      </c>
      <c r="L29">
        <v>-4.7000900814471596</v>
      </c>
      <c r="M29">
        <v>160.15625</v>
      </c>
      <c r="N29">
        <v>-3.8007286069707602</v>
      </c>
      <c r="O29">
        <f t="shared" si="0"/>
        <v>130.859375</v>
      </c>
      <c r="P29">
        <f t="shared" si="1"/>
        <v>-6.0343275748342453</v>
      </c>
      <c r="Q29">
        <f t="shared" si="2"/>
        <v>138.671875</v>
      </c>
      <c r="R29">
        <f>AVERAGE(H29,J29)</f>
        <v>-8.7847403455244795</v>
      </c>
      <c r="S29">
        <f t="shared" si="4"/>
        <v>162.109375</v>
      </c>
      <c r="T29">
        <f>AVERAGE(L29,N29)</f>
        <v>-4.2504093442089594</v>
      </c>
      <c r="U29">
        <v>0.491784583</v>
      </c>
      <c r="V29">
        <v>50</v>
      </c>
      <c r="W29">
        <v>16</v>
      </c>
      <c r="X29">
        <v>3.6</v>
      </c>
      <c r="Y29">
        <v>53</v>
      </c>
      <c r="Z29">
        <v>11</v>
      </c>
      <c r="AA29">
        <v>28</v>
      </c>
      <c r="AB29">
        <v>14</v>
      </c>
      <c r="AC29" t="s">
        <v>27</v>
      </c>
      <c r="AD29">
        <v>10</v>
      </c>
      <c r="AE29">
        <v>2</v>
      </c>
      <c r="AF29">
        <v>7</v>
      </c>
      <c r="AG29">
        <v>10</v>
      </c>
      <c r="AH29">
        <v>8</v>
      </c>
      <c r="AI29">
        <v>8</v>
      </c>
      <c r="AJ29">
        <v>2</v>
      </c>
      <c r="AK29">
        <v>6</v>
      </c>
      <c r="AL29">
        <v>0</v>
      </c>
      <c r="AM29" s="2">
        <v>99.7</v>
      </c>
    </row>
    <row r="30" spans="1:39" x14ac:dyDescent="0.2">
      <c r="A30">
        <v>78</v>
      </c>
      <c r="B30" t="s">
        <v>22</v>
      </c>
      <c r="C30">
        <v>119.140625</v>
      </c>
      <c r="D30">
        <v>-4.0412897072391898</v>
      </c>
      <c r="E30">
        <v>117.1875</v>
      </c>
      <c r="F30">
        <v>-3.9074230200357398</v>
      </c>
      <c r="G30">
        <v>123.046875</v>
      </c>
      <c r="H30">
        <v>-4.0632699332587698</v>
      </c>
      <c r="I30">
        <v>125</v>
      </c>
      <c r="J30">
        <v>-2.2003448266453498</v>
      </c>
      <c r="K30">
        <v>187.5</v>
      </c>
      <c r="L30">
        <v>-0.92943704083055301</v>
      </c>
      <c r="M30">
        <v>185.546875</v>
      </c>
      <c r="N30">
        <v>-1.02629450835492</v>
      </c>
      <c r="O30">
        <f t="shared" si="0"/>
        <v>118.1640625</v>
      </c>
      <c r="P30">
        <f t="shared" si="1"/>
        <v>-3.9743563636374648</v>
      </c>
      <c r="Q30">
        <f t="shared" si="2"/>
        <v>124.0234375</v>
      </c>
      <c r="R30">
        <f t="shared" si="3"/>
        <v>-3.1318073799520598</v>
      </c>
      <c r="S30">
        <f t="shared" si="4"/>
        <v>186.5234375</v>
      </c>
      <c r="T30">
        <f t="shared" si="5"/>
        <v>-0.97786577459273649</v>
      </c>
      <c r="U30">
        <v>0.39406039999999998</v>
      </c>
      <c r="V30">
        <v>46</v>
      </c>
      <c r="W30">
        <v>20</v>
      </c>
      <c r="X30">
        <v>3.8</v>
      </c>
      <c r="Y30">
        <v>66</v>
      </c>
      <c r="Z30">
        <v>26</v>
      </c>
      <c r="AA30">
        <v>21</v>
      </c>
      <c r="AB30">
        <v>19</v>
      </c>
      <c r="AC30" t="s">
        <v>27</v>
      </c>
      <c r="AD30">
        <v>12</v>
      </c>
      <c r="AE30">
        <v>8</v>
      </c>
      <c r="AF30">
        <v>3</v>
      </c>
      <c r="AG30">
        <v>3</v>
      </c>
      <c r="AH30">
        <v>6</v>
      </c>
      <c r="AI30">
        <v>8</v>
      </c>
      <c r="AJ30">
        <v>8</v>
      </c>
      <c r="AK30">
        <v>11</v>
      </c>
      <c r="AL30">
        <v>7</v>
      </c>
      <c r="AM30" s="2">
        <v>99.5</v>
      </c>
    </row>
    <row r="31" spans="1:39" x14ac:dyDescent="0.2">
      <c r="A31">
        <v>80</v>
      </c>
      <c r="B31" t="s">
        <v>22</v>
      </c>
      <c r="C31">
        <v>117.1875</v>
      </c>
      <c r="D31">
        <v>-0.110998489177702</v>
      </c>
      <c r="E31">
        <v>115.234375</v>
      </c>
      <c r="F31">
        <v>-0.42372118562911798</v>
      </c>
      <c r="G31">
        <v>119.140625</v>
      </c>
      <c r="H31">
        <v>1.84576380836877</v>
      </c>
      <c r="I31">
        <v>111.328125</v>
      </c>
      <c r="J31">
        <v>2.2134867204887998</v>
      </c>
      <c r="K31">
        <v>220.703125</v>
      </c>
      <c r="L31">
        <v>-5.3448206975869503</v>
      </c>
      <c r="M31">
        <v>218.75</v>
      </c>
      <c r="N31">
        <v>-4.1799783909859798</v>
      </c>
      <c r="O31">
        <f t="shared" si="0"/>
        <v>116.2109375</v>
      </c>
      <c r="P31">
        <f t="shared" si="1"/>
        <v>-0.26735983740340996</v>
      </c>
      <c r="Q31">
        <f t="shared" si="2"/>
        <v>115.234375</v>
      </c>
      <c r="R31">
        <f t="shared" si="3"/>
        <v>2.0296252644287849</v>
      </c>
      <c r="S31">
        <f t="shared" si="4"/>
        <v>219.7265625</v>
      </c>
      <c r="T31">
        <f t="shared" si="5"/>
        <v>-4.7623995442864651</v>
      </c>
      <c r="U31">
        <v>0.39009590900000002</v>
      </c>
      <c r="V31">
        <v>53</v>
      </c>
      <c r="W31">
        <v>29</v>
      </c>
      <c r="X31">
        <v>4</v>
      </c>
      <c r="Y31">
        <v>68</v>
      </c>
      <c r="Z31">
        <v>26</v>
      </c>
      <c r="AA31">
        <v>20</v>
      </c>
      <c r="AB31">
        <v>22</v>
      </c>
      <c r="AC31" t="s">
        <v>23</v>
      </c>
      <c r="AD31">
        <v>13</v>
      </c>
      <c r="AE31">
        <v>7</v>
      </c>
      <c r="AF31">
        <v>6</v>
      </c>
      <c r="AG31">
        <v>4</v>
      </c>
      <c r="AH31">
        <v>3</v>
      </c>
      <c r="AI31">
        <v>10</v>
      </c>
      <c r="AJ31">
        <v>7</v>
      </c>
      <c r="AK31">
        <v>12</v>
      </c>
      <c r="AL31">
        <v>6</v>
      </c>
      <c r="AM31" s="2">
        <v>96.1</v>
      </c>
    </row>
    <row r="32" spans="1:39" x14ac:dyDescent="0.2">
      <c r="A32">
        <v>84</v>
      </c>
      <c r="B32" t="s">
        <v>22</v>
      </c>
      <c r="C32">
        <v>121.09375</v>
      </c>
      <c r="D32">
        <v>-0.55514143793403403</v>
      </c>
      <c r="E32">
        <v>123.046875</v>
      </c>
      <c r="F32">
        <v>-0.25242305086408301</v>
      </c>
      <c r="G32">
        <v>138.671875</v>
      </c>
      <c r="H32">
        <v>-0.54088222126704899</v>
      </c>
      <c r="I32">
        <v>138.671875</v>
      </c>
      <c r="J32">
        <v>-1.0682669138150001</v>
      </c>
      <c r="K32">
        <v>173.828125</v>
      </c>
      <c r="L32">
        <v>-3.4308158950495402</v>
      </c>
      <c r="M32">
        <v>175.78125</v>
      </c>
      <c r="N32">
        <v>-3.99738066962842</v>
      </c>
      <c r="O32">
        <f t="shared" si="0"/>
        <v>122.0703125</v>
      </c>
      <c r="P32">
        <f t="shared" si="1"/>
        <v>-0.40378224439905852</v>
      </c>
      <c r="Q32">
        <f t="shared" si="2"/>
        <v>138.671875</v>
      </c>
      <c r="R32">
        <f t="shared" si="3"/>
        <v>-0.80457456754102452</v>
      </c>
      <c r="S32">
        <f t="shared" si="4"/>
        <v>174.8046875</v>
      </c>
      <c r="T32">
        <f t="shared" si="5"/>
        <v>-3.7140982823389801</v>
      </c>
      <c r="U32">
        <v>0.49248043499999999</v>
      </c>
      <c r="V32">
        <v>45</v>
      </c>
      <c r="W32">
        <v>17</v>
      </c>
      <c r="X32">
        <v>3.5</v>
      </c>
      <c r="Y32">
        <v>68</v>
      </c>
      <c r="Z32">
        <v>34</v>
      </c>
      <c r="AA32">
        <v>20</v>
      </c>
      <c r="AB32">
        <v>14</v>
      </c>
      <c r="AC32" t="s">
        <v>27</v>
      </c>
      <c r="AD32">
        <v>8</v>
      </c>
      <c r="AE32">
        <v>10</v>
      </c>
      <c r="AF32">
        <v>10</v>
      </c>
      <c r="AG32">
        <v>5</v>
      </c>
      <c r="AH32">
        <v>7</v>
      </c>
      <c r="AI32">
        <v>6</v>
      </c>
      <c r="AJ32">
        <v>6</v>
      </c>
      <c r="AK32">
        <v>8</v>
      </c>
      <c r="AL32">
        <v>8</v>
      </c>
      <c r="AM32" s="2">
        <v>98.2</v>
      </c>
    </row>
    <row r="33" spans="1:39" x14ac:dyDescent="0.2">
      <c r="A33">
        <v>85</v>
      </c>
      <c r="B33" t="s">
        <v>22</v>
      </c>
      <c r="C33">
        <v>123.046875</v>
      </c>
      <c r="D33">
        <v>-0.62890078636749902</v>
      </c>
      <c r="E33">
        <v>123.046875</v>
      </c>
      <c r="F33">
        <v>-0.59653060538078695</v>
      </c>
      <c r="G33">
        <v>130.859375</v>
      </c>
      <c r="H33">
        <v>-2.48166055415154</v>
      </c>
      <c r="I33">
        <v>128.90625</v>
      </c>
      <c r="J33">
        <v>-2.8658650187163399</v>
      </c>
      <c r="K33">
        <v>152.34375</v>
      </c>
      <c r="L33">
        <v>-4.2486986843215702</v>
      </c>
      <c r="M33">
        <v>154.296875</v>
      </c>
      <c r="N33">
        <v>-3.9629251676846402</v>
      </c>
      <c r="O33">
        <f t="shared" si="0"/>
        <v>123.046875</v>
      </c>
      <c r="P33">
        <f t="shared" si="1"/>
        <v>-0.61271569587414298</v>
      </c>
      <c r="Q33">
        <f t="shared" si="2"/>
        <v>129.8828125</v>
      </c>
      <c r="R33">
        <f t="shared" si="3"/>
        <v>-2.6737627864339402</v>
      </c>
      <c r="S33">
        <f>AVERAGE(K33,M33)</f>
        <v>153.3203125</v>
      </c>
      <c r="T33">
        <f t="shared" si="5"/>
        <v>-4.1058119260031054</v>
      </c>
      <c r="U33">
        <v>0.35298346200000003</v>
      </c>
      <c r="V33">
        <v>52</v>
      </c>
      <c r="W33">
        <v>14</v>
      </c>
      <c r="X33">
        <v>3.42</v>
      </c>
      <c r="Y33">
        <v>66</v>
      </c>
      <c r="Z33">
        <v>31</v>
      </c>
      <c r="AA33">
        <v>18</v>
      </c>
      <c r="AB33">
        <v>17</v>
      </c>
      <c r="AC33" t="s">
        <v>27</v>
      </c>
      <c r="AD33">
        <v>8</v>
      </c>
      <c r="AE33">
        <v>5</v>
      </c>
      <c r="AF33">
        <v>7</v>
      </c>
      <c r="AG33">
        <v>6</v>
      </c>
      <c r="AH33">
        <v>4</v>
      </c>
      <c r="AI33">
        <v>8</v>
      </c>
      <c r="AJ33">
        <v>9</v>
      </c>
      <c r="AK33">
        <v>9</v>
      </c>
      <c r="AL33">
        <v>10</v>
      </c>
      <c r="AM33" s="2">
        <v>100</v>
      </c>
    </row>
    <row r="34" spans="1:39" x14ac:dyDescent="0.2">
      <c r="A34" t="s">
        <v>32</v>
      </c>
      <c r="B34" t="s">
        <v>33</v>
      </c>
      <c r="C34">
        <v>103.515625</v>
      </c>
      <c r="D34">
        <v>-1.97723391511498</v>
      </c>
      <c r="E34">
        <v>101.5625</v>
      </c>
      <c r="F34">
        <v>-2.2467278197312099</v>
      </c>
      <c r="G34">
        <v>103.515625</v>
      </c>
      <c r="H34">
        <v>-2.72743647999082</v>
      </c>
      <c r="I34">
        <v>101.5625</v>
      </c>
      <c r="J34">
        <v>-2.5724764015024899</v>
      </c>
      <c r="K34">
        <v>179.6875</v>
      </c>
      <c r="L34">
        <v>-3.3095487640765602</v>
      </c>
      <c r="M34">
        <v>226.5625</v>
      </c>
      <c r="N34">
        <v>-2.5236285416142499</v>
      </c>
      <c r="O34">
        <f t="shared" si="0"/>
        <v>102.5390625</v>
      </c>
      <c r="P34">
        <f t="shared" si="1"/>
        <v>-2.1119808674230951</v>
      </c>
      <c r="Q34">
        <f t="shared" si="2"/>
        <v>102.5390625</v>
      </c>
      <c r="R34">
        <f t="shared" si="3"/>
        <v>-2.6499564407466547</v>
      </c>
      <c r="S34">
        <f t="shared" si="4"/>
        <v>203.125</v>
      </c>
      <c r="T34">
        <f t="shared" si="5"/>
        <v>-2.9165886528454052</v>
      </c>
      <c r="U34">
        <v>0.378560385</v>
      </c>
      <c r="V34">
        <v>47</v>
      </c>
      <c r="W34">
        <v>18</v>
      </c>
      <c r="X34">
        <v>1.7</v>
      </c>
      <c r="Y34">
        <v>92</v>
      </c>
      <c r="Z34">
        <v>42</v>
      </c>
      <c r="AA34">
        <v>28</v>
      </c>
      <c r="AB34">
        <v>22</v>
      </c>
      <c r="AC34" t="s">
        <v>23</v>
      </c>
      <c r="AD34">
        <v>12</v>
      </c>
      <c r="AE34">
        <v>10</v>
      </c>
      <c r="AF34">
        <v>9</v>
      </c>
      <c r="AG34">
        <v>8</v>
      </c>
      <c r="AH34">
        <v>8</v>
      </c>
      <c r="AI34">
        <v>10</v>
      </c>
      <c r="AJ34">
        <v>12</v>
      </c>
      <c r="AK34">
        <v>12</v>
      </c>
      <c r="AL34">
        <v>11</v>
      </c>
      <c r="AM34" s="2">
        <v>99.4</v>
      </c>
    </row>
    <row r="35" spans="1:39" x14ac:dyDescent="0.2">
      <c r="A35">
        <v>13</v>
      </c>
      <c r="B35" t="s">
        <v>33</v>
      </c>
      <c r="C35">
        <v>123.046875</v>
      </c>
      <c r="D35">
        <v>-0.78301750614169296</v>
      </c>
      <c r="E35">
        <v>125</v>
      </c>
      <c r="F35">
        <v>-0.99409658820447799</v>
      </c>
      <c r="G35">
        <v>126.953125</v>
      </c>
      <c r="H35">
        <v>-0.32675205842265898</v>
      </c>
      <c r="I35">
        <v>123.046875</v>
      </c>
      <c r="J35">
        <v>-0.37188657805410202</v>
      </c>
      <c r="K35">
        <v>205.078125</v>
      </c>
      <c r="L35">
        <v>-2.1109655296324101</v>
      </c>
      <c r="M35">
        <v>205.078125</v>
      </c>
      <c r="N35">
        <v>-1.3328316644285201</v>
      </c>
      <c r="O35">
        <f t="shared" si="0"/>
        <v>124.0234375</v>
      </c>
      <c r="P35">
        <f t="shared" si="1"/>
        <v>-0.88855704717308548</v>
      </c>
      <c r="Q35">
        <f>AVERAGE(G35,I35)</f>
        <v>125</v>
      </c>
      <c r="R35">
        <f t="shared" si="3"/>
        <v>-0.34931931823838047</v>
      </c>
      <c r="S35">
        <f t="shared" si="4"/>
        <v>205.078125</v>
      </c>
      <c r="T35">
        <f t="shared" si="5"/>
        <v>-1.721898597030465</v>
      </c>
      <c r="U35">
        <v>0.46721875000000002</v>
      </c>
      <c r="V35">
        <v>47</v>
      </c>
      <c r="W35">
        <v>15</v>
      </c>
      <c r="X35">
        <v>3.46</v>
      </c>
      <c r="Y35">
        <v>95</v>
      </c>
      <c r="Z35">
        <v>41</v>
      </c>
      <c r="AA35">
        <v>22</v>
      </c>
      <c r="AB35">
        <v>32</v>
      </c>
      <c r="AC35" t="s">
        <v>25</v>
      </c>
      <c r="AD35">
        <v>7</v>
      </c>
      <c r="AE35">
        <v>8</v>
      </c>
      <c r="AF35">
        <v>9</v>
      </c>
      <c r="AG35">
        <v>7</v>
      </c>
      <c r="AH35">
        <v>8</v>
      </c>
      <c r="AI35">
        <v>16</v>
      </c>
      <c r="AJ35">
        <v>9</v>
      </c>
      <c r="AK35">
        <v>16</v>
      </c>
      <c r="AL35">
        <v>15</v>
      </c>
      <c r="AM35" s="2">
        <v>100</v>
      </c>
    </row>
    <row r="36" spans="1:39" x14ac:dyDescent="0.2">
      <c r="A36">
        <v>15</v>
      </c>
      <c r="B36" t="s">
        <v>33</v>
      </c>
      <c r="C36">
        <v>130.859375</v>
      </c>
      <c r="D36">
        <v>-1.9296609166352401</v>
      </c>
      <c r="E36">
        <v>130.859375</v>
      </c>
      <c r="F36">
        <v>-2.1402360849529098</v>
      </c>
      <c r="G36">
        <v>128.90625</v>
      </c>
      <c r="H36">
        <v>-2.3609419086378902</v>
      </c>
      <c r="I36">
        <v>130.859375</v>
      </c>
      <c r="J36">
        <v>-3.4738462260072098</v>
      </c>
      <c r="K36">
        <v>187.5</v>
      </c>
      <c r="L36">
        <v>-2.4591863014120499</v>
      </c>
      <c r="M36">
        <v>224.609375</v>
      </c>
      <c r="N36">
        <v>-2.6275155094497298</v>
      </c>
      <c r="O36">
        <f t="shared" si="0"/>
        <v>130.859375</v>
      </c>
      <c r="P36">
        <f t="shared" si="1"/>
        <v>-2.0349485007940751</v>
      </c>
      <c r="Q36">
        <f t="shared" si="2"/>
        <v>129.8828125</v>
      </c>
      <c r="R36">
        <f t="shared" si="3"/>
        <v>-2.91739406732255</v>
      </c>
      <c r="S36">
        <f t="shared" si="4"/>
        <v>206.0546875</v>
      </c>
      <c r="T36">
        <f t="shared" si="5"/>
        <v>-2.5433509054308896</v>
      </c>
      <c r="U36">
        <v>0.44211119999999998</v>
      </c>
      <c r="V36">
        <v>47</v>
      </c>
      <c r="W36">
        <v>20</v>
      </c>
      <c r="X36">
        <v>3.5</v>
      </c>
      <c r="Y36">
        <v>95</v>
      </c>
      <c r="Z36">
        <v>42</v>
      </c>
      <c r="AA36">
        <v>29</v>
      </c>
      <c r="AB36">
        <v>24</v>
      </c>
      <c r="AC36" t="s">
        <v>25</v>
      </c>
      <c r="AD36">
        <v>12</v>
      </c>
      <c r="AE36">
        <v>9</v>
      </c>
      <c r="AF36">
        <v>9</v>
      </c>
      <c r="AG36">
        <v>9</v>
      </c>
      <c r="AH36">
        <v>8</v>
      </c>
      <c r="AI36">
        <v>12</v>
      </c>
      <c r="AJ36">
        <v>12</v>
      </c>
      <c r="AK36">
        <v>12</v>
      </c>
      <c r="AL36">
        <v>12</v>
      </c>
      <c r="AM36" s="2">
        <v>99.7</v>
      </c>
    </row>
    <row r="37" spans="1:39" x14ac:dyDescent="0.2">
      <c r="A37">
        <v>18</v>
      </c>
      <c r="B37" t="s">
        <v>33</v>
      </c>
      <c r="C37">
        <v>128.90625</v>
      </c>
      <c r="D37">
        <v>-1.8365534631198399</v>
      </c>
      <c r="E37">
        <v>113.28125</v>
      </c>
      <c r="F37">
        <v>-2.3047616535664002</v>
      </c>
      <c r="G37">
        <v>123.046875</v>
      </c>
      <c r="H37">
        <v>-1.2156192936224199</v>
      </c>
      <c r="I37">
        <v>121.09375</v>
      </c>
      <c r="J37">
        <v>-1.6410032474101499</v>
      </c>
      <c r="K37">
        <v>189.453125</v>
      </c>
      <c r="L37">
        <v>-1.8681209782877599</v>
      </c>
      <c r="M37">
        <v>191.40625</v>
      </c>
      <c r="N37">
        <v>-1.7704037048516099</v>
      </c>
      <c r="O37">
        <f t="shared" si="0"/>
        <v>121.09375</v>
      </c>
      <c r="P37">
        <f t="shared" si="1"/>
        <v>-2.0706575583431199</v>
      </c>
      <c r="Q37">
        <f t="shared" si="2"/>
        <v>122.0703125</v>
      </c>
      <c r="R37">
        <f t="shared" si="3"/>
        <v>-1.4283112705162848</v>
      </c>
      <c r="S37">
        <f t="shared" si="4"/>
        <v>190.4296875</v>
      </c>
      <c r="T37">
        <f t="shared" si="5"/>
        <v>-1.8192623415696849</v>
      </c>
      <c r="U37">
        <v>0.42289359999999998</v>
      </c>
      <c r="V37">
        <v>56</v>
      </c>
      <c r="W37">
        <v>30</v>
      </c>
      <c r="X37">
        <v>3.75</v>
      </c>
      <c r="Y37">
        <v>99</v>
      </c>
      <c r="Z37">
        <v>48</v>
      </c>
      <c r="AA37">
        <v>19</v>
      </c>
      <c r="AB37">
        <v>32</v>
      </c>
      <c r="AC37" t="s">
        <v>25</v>
      </c>
      <c r="AD37">
        <v>9</v>
      </c>
      <c r="AE37">
        <v>12</v>
      </c>
      <c r="AF37">
        <v>7</v>
      </c>
      <c r="AG37">
        <v>5</v>
      </c>
      <c r="AH37">
        <v>5</v>
      </c>
      <c r="AI37">
        <v>16</v>
      </c>
      <c r="AJ37">
        <v>14</v>
      </c>
      <c r="AK37">
        <v>16</v>
      </c>
      <c r="AL37">
        <v>15</v>
      </c>
      <c r="AM37" s="2">
        <v>99.8</v>
      </c>
    </row>
    <row r="38" spans="1:39" x14ac:dyDescent="0.2">
      <c r="A38">
        <v>19</v>
      </c>
      <c r="B38" t="s">
        <v>33</v>
      </c>
      <c r="C38">
        <v>101.5625</v>
      </c>
      <c r="D38">
        <v>-5.6067272434518499E-2</v>
      </c>
      <c r="E38">
        <v>87.890625</v>
      </c>
      <c r="F38">
        <v>-0.40891162055469599</v>
      </c>
      <c r="G38">
        <v>119.140625</v>
      </c>
      <c r="H38">
        <v>-0.57416057596098302</v>
      </c>
      <c r="I38">
        <v>117.1875</v>
      </c>
      <c r="J38">
        <v>-0.93188063710172298</v>
      </c>
      <c r="K38">
        <v>156.25</v>
      </c>
      <c r="L38">
        <v>-1.79990681365234</v>
      </c>
      <c r="M38">
        <v>156.25</v>
      </c>
      <c r="N38">
        <v>-1.2477818784622901</v>
      </c>
      <c r="O38">
        <f t="shared" si="0"/>
        <v>94.7265625</v>
      </c>
      <c r="P38">
        <f t="shared" si="1"/>
        <v>-0.23248944649460723</v>
      </c>
      <c r="Q38">
        <f t="shared" si="2"/>
        <v>118.1640625</v>
      </c>
      <c r="R38">
        <f t="shared" si="3"/>
        <v>-0.75302060653135294</v>
      </c>
      <c r="S38">
        <f t="shared" si="4"/>
        <v>156.25</v>
      </c>
      <c r="T38">
        <f t="shared" si="5"/>
        <v>-1.523844346057315</v>
      </c>
      <c r="U38">
        <v>0.39804208299999999</v>
      </c>
      <c r="V38">
        <v>55</v>
      </c>
      <c r="W38">
        <v>24</v>
      </c>
      <c r="X38">
        <v>3.7</v>
      </c>
      <c r="Y38">
        <v>89</v>
      </c>
      <c r="Z38">
        <v>35</v>
      </c>
      <c r="AA38">
        <v>30</v>
      </c>
      <c r="AB38">
        <v>24</v>
      </c>
      <c r="AC38" t="s">
        <v>25</v>
      </c>
      <c r="AD38">
        <v>16</v>
      </c>
      <c r="AE38">
        <v>12</v>
      </c>
      <c r="AF38">
        <v>9</v>
      </c>
      <c r="AG38">
        <v>9</v>
      </c>
      <c r="AH38">
        <v>5</v>
      </c>
      <c r="AI38">
        <v>10</v>
      </c>
      <c r="AJ38">
        <v>4</v>
      </c>
      <c r="AK38">
        <v>14</v>
      </c>
      <c r="AL38">
        <v>10</v>
      </c>
      <c r="AM38" s="2">
        <v>99.8</v>
      </c>
    </row>
    <row r="39" spans="1:39" x14ac:dyDescent="0.2">
      <c r="A39">
        <v>21</v>
      </c>
      <c r="B39" t="s">
        <v>33</v>
      </c>
      <c r="C39">
        <v>109.375</v>
      </c>
      <c r="D39">
        <v>-4.6596591218063601</v>
      </c>
      <c r="E39">
        <v>107.421875</v>
      </c>
      <c r="F39">
        <v>-4.5988091311180597</v>
      </c>
      <c r="G39">
        <v>111.328125</v>
      </c>
      <c r="H39">
        <v>-2.4655594567663499</v>
      </c>
      <c r="I39">
        <v>111.328125</v>
      </c>
      <c r="J39">
        <v>-4.0709882424766501</v>
      </c>
      <c r="K39">
        <v>181.640625</v>
      </c>
      <c r="L39">
        <v>-4.96098597949445</v>
      </c>
      <c r="M39">
        <v>187.5</v>
      </c>
      <c r="N39">
        <v>-3.8861624105652801</v>
      </c>
      <c r="O39">
        <f t="shared" si="0"/>
        <v>108.3984375</v>
      </c>
      <c r="P39">
        <f t="shared" si="1"/>
        <v>-4.6292341264622099</v>
      </c>
      <c r="Q39">
        <f t="shared" si="2"/>
        <v>111.328125</v>
      </c>
      <c r="R39">
        <f t="shared" si="3"/>
        <v>-3.2682738496215</v>
      </c>
      <c r="S39">
        <f t="shared" si="4"/>
        <v>184.5703125</v>
      </c>
      <c r="T39">
        <f t="shared" si="5"/>
        <v>-4.4235741950298646</v>
      </c>
      <c r="U39">
        <v>0.37963333300000002</v>
      </c>
      <c r="V39">
        <v>53</v>
      </c>
      <c r="W39">
        <v>52</v>
      </c>
      <c r="X39">
        <v>3.8</v>
      </c>
      <c r="Y39">
        <v>97</v>
      </c>
      <c r="Z39">
        <v>44</v>
      </c>
      <c r="AA39">
        <v>31</v>
      </c>
      <c r="AB39">
        <v>22</v>
      </c>
      <c r="AC39" t="s">
        <v>23</v>
      </c>
      <c r="AD39">
        <v>15</v>
      </c>
      <c r="AE39">
        <v>10</v>
      </c>
      <c r="AF39">
        <v>9</v>
      </c>
      <c r="AG39">
        <v>8</v>
      </c>
      <c r="AH39">
        <v>8</v>
      </c>
      <c r="AI39">
        <v>7</v>
      </c>
      <c r="AJ39">
        <v>12</v>
      </c>
      <c r="AK39">
        <v>15</v>
      </c>
      <c r="AL39">
        <v>13</v>
      </c>
      <c r="AM39" s="2">
        <v>99.4</v>
      </c>
    </row>
    <row r="40" spans="1:39" x14ac:dyDescent="0.2">
      <c r="A40">
        <v>24</v>
      </c>
      <c r="B40" t="s">
        <v>33</v>
      </c>
      <c r="C40">
        <v>138.671875</v>
      </c>
      <c r="D40">
        <v>-6.4656823119153994E-2</v>
      </c>
      <c r="E40">
        <v>138.671875</v>
      </c>
      <c r="F40">
        <v>-1.1870948417848199</v>
      </c>
      <c r="G40">
        <v>134.765625</v>
      </c>
      <c r="H40">
        <v>-0.92597334923831198</v>
      </c>
      <c r="I40">
        <v>111.328125</v>
      </c>
      <c r="J40">
        <v>-0.76998592435078095</v>
      </c>
      <c r="K40">
        <v>216.796875</v>
      </c>
      <c r="L40">
        <v>-2.0673719463267699</v>
      </c>
      <c r="M40">
        <v>199.21875</v>
      </c>
      <c r="N40">
        <v>-1.67096157531086</v>
      </c>
      <c r="O40">
        <f t="shared" si="0"/>
        <v>138.671875</v>
      </c>
      <c r="P40">
        <f t="shared" si="1"/>
        <v>-0.62587583245198697</v>
      </c>
      <c r="Q40">
        <f t="shared" si="2"/>
        <v>123.046875</v>
      </c>
      <c r="R40">
        <f t="shared" si="3"/>
        <v>-0.84797963679454647</v>
      </c>
      <c r="S40">
        <f t="shared" si="4"/>
        <v>208.0078125</v>
      </c>
      <c r="T40">
        <f t="shared" si="5"/>
        <v>-1.8691667608188149</v>
      </c>
      <c r="U40">
        <v>0.38210250000000001</v>
      </c>
      <c r="V40">
        <v>58</v>
      </c>
      <c r="W40">
        <v>41</v>
      </c>
      <c r="X40">
        <v>3.5</v>
      </c>
      <c r="Y40">
        <v>99</v>
      </c>
      <c r="Z40">
        <v>48</v>
      </c>
      <c r="AA40">
        <v>31</v>
      </c>
      <c r="AB40">
        <v>20</v>
      </c>
      <c r="AC40" t="s">
        <v>27</v>
      </c>
      <c r="AD40">
        <v>16</v>
      </c>
      <c r="AE40">
        <v>12</v>
      </c>
      <c r="AF40">
        <v>11</v>
      </c>
      <c r="AG40">
        <v>8</v>
      </c>
      <c r="AH40">
        <v>7</v>
      </c>
      <c r="AI40">
        <v>8</v>
      </c>
      <c r="AJ40">
        <v>12</v>
      </c>
      <c r="AK40">
        <v>12</v>
      </c>
      <c r="AL40">
        <v>13</v>
      </c>
      <c r="AM40" s="2">
        <v>95.2</v>
      </c>
    </row>
    <row r="41" spans="1:39" x14ac:dyDescent="0.2">
      <c r="A41">
        <v>26</v>
      </c>
      <c r="B41" t="s">
        <v>33</v>
      </c>
      <c r="C41">
        <v>121.09375</v>
      </c>
      <c r="D41">
        <v>-4.8011302811954897</v>
      </c>
      <c r="E41">
        <v>121.09375</v>
      </c>
      <c r="F41">
        <v>-3.54204185531633</v>
      </c>
      <c r="G41">
        <v>125</v>
      </c>
      <c r="H41">
        <v>-4.7898231782369596</v>
      </c>
      <c r="I41">
        <v>126.953125</v>
      </c>
      <c r="J41">
        <v>-4.3284422255076196</v>
      </c>
      <c r="K41">
        <v>181.640625</v>
      </c>
      <c r="L41">
        <v>-3.3284272081029802</v>
      </c>
      <c r="M41">
        <v>179.6875</v>
      </c>
      <c r="N41">
        <v>-2.56411739736023</v>
      </c>
      <c r="O41">
        <f t="shared" si="0"/>
        <v>121.09375</v>
      </c>
      <c r="P41">
        <f t="shared" si="1"/>
        <v>-4.1715860682559098</v>
      </c>
      <c r="Q41">
        <f t="shared" si="2"/>
        <v>125.9765625</v>
      </c>
      <c r="R41">
        <f t="shared" si="3"/>
        <v>-4.55913270187229</v>
      </c>
      <c r="S41">
        <f t="shared" si="4"/>
        <v>180.6640625</v>
      </c>
      <c r="T41">
        <f t="shared" si="5"/>
        <v>-2.9462723027316051</v>
      </c>
      <c r="U41">
        <v>0.37064249999999999</v>
      </c>
      <c r="V41">
        <v>50</v>
      </c>
      <c r="W41">
        <v>14</v>
      </c>
      <c r="X41">
        <v>4</v>
      </c>
      <c r="Y41">
        <v>91</v>
      </c>
      <c r="Z41">
        <v>36</v>
      </c>
      <c r="AA41">
        <v>30</v>
      </c>
      <c r="AB41">
        <v>25</v>
      </c>
      <c r="AC41" t="s">
        <v>25</v>
      </c>
      <c r="AD41">
        <v>16</v>
      </c>
      <c r="AE41">
        <v>12</v>
      </c>
      <c r="AF41">
        <v>9</v>
      </c>
      <c r="AG41">
        <v>8</v>
      </c>
      <c r="AH41">
        <v>6</v>
      </c>
      <c r="AI41">
        <v>9</v>
      </c>
      <c r="AJ41">
        <v>7</v>
      </c>
      <c r="AK41">
        <v>16</v>
      </c>
      <c r="AL41">
        <v>8</v>
      </c>
      <c r="AM41" s="2">
        <v>99.7</v>
      </c>
    </row>
    <row r="42" spans="1:39" x14ac:dyDescent="0.2">
      <c r="A42">
        <v>30</v>
      </c>
      <c r="B42" t="s">
        <v>33</v>
      </c>
      <c r="C42">
        <v>80.078125</v>
      </c>
      <c r="D42">
        <v>-0.54303880282093497</v>
      </c>
      <c r="E42">
        <v>80.078125</v>
      </c>
      <c r="F42">
        <v>-0.65194153944198796</v>
      </c>
      <c r="G42">
        <v>80.078125</v>
      </c>
      <c r="H42">
        <v>-0.74655421208656703</v>
      </c>
      <c r="I42">
        <v>109.375</v>
      </c>
      <c r="J42">
        <v>-0.65515349535373202</v>
      </c>
      <c r="K42">
        <v>199.21875</v>
      </c>
      <c r="L42">
        <v>-1.64068494526282</v>
      </c>
      <c r="M42">
        <v>232.421875</v>
      </c>
      <c r="N42">
        <v>-1.48724273094507</v>
      </c>
      <c r="O42">
        <f t="shared" si="0"/>
        <v>80.078125</v>
      </c>
      <c r="P42">
        <f t="shared" si="1"/>
        <v>-0.59749017113146152</v>
      </c>
      <c r="Q42">
        <f t="shared" si="2"/>
        <v>94.7265625</v>
      </c>
      <c r="R42">
        <f t="shared" si="3"/>
        <v>-0.70085385372014952</v>
      </c>
      <c r="S42">
        <f t="shared" si="4"/>
        <v>215.8203125</v>
      </c>
      <c r="T42">
        <f t="shared" si="5"/>
        <v>-1.5639638381039451</v>
      </c>
      <c r="U42">
        <v>0.32019291700000002</v>
      </c>
      <c r="V42">
        <v>41</v>
      </c>
      <c r="W42">
        <v>22</v>
      </c>
      <c r="X42">
        <v>3</v>
      </c>
      <c r="Y42">
        <v>95</v>
      </c>
      <c r="Z42">
        <v>40</v>
      </c>
      <c r="AA42">
        <v>34</v>
      </c>
      <c r="AB42">
        <v>21</v>
      </c>
      <c r="AC42" t="s">
        <v>27</v>
      </c>
      <c r="AD42">
        <v>14</v>
      </c>
      <c r="AE42">
        <v>8</v>
      </c>
      <c r="AF42">
        <v>11</v>
      </c>
      <c r="AG42">
        <v>12</v>
      </c>
      <c r="AH42">
        <v>8</v>
      </c>
      <c r="AI42">
        <v>10</v>
      </c>
      <c r="AJ42">
        <v>6</v>
      </c>
      <c r="AK42">
        <v>11</v>
      </c>
      <c r="AL42">
        <v>15</v>
      </c>
      <c r="AM42" s="2">
        <v>99.5</v>
      </c>
    </row>
    <row r="43" spans="1:39" x14ac:dyDescent="0.2">
      <c r="A43">
        <v>52</v>
      </c>
      <c r="B43" t="s">
        <v>33</v>
      </c>
      <c r="C43">
        <v>103.515625</v>
      </c>
      <c r="D43">
        <v>-2.9487613298195599E-2</v>
      </c>
      <c r="E43">
        <v>103.515625</v>
      </c>
      <c r="F43">
        <v>-0.56752869109001003</v>
      </c>
      <c r="G43">
        <v>111.328125</v>
      </c>
      <c r="H43">
        <v>0.26028501195429998</v>
      </c>
      <c r="I43">
        <v>113.28125</v>
      </c>
      <c r="J43">
        <v>-0.59544626812273005</v>
      </c>
      <c r="K43">
        <v>195.3125</v>
      </c>
      <c r="L43">
        <v>-2.1797318389704401</v>
      </c>
      <c r="M43">
        <v>195.3125</v>
      </c>
      <c r="N43">
        <v>-2.0574508159145699</v>
      </c>
      <c r="O43">
        <f t="shared" si="0"/>
        <v>103.515625</v>
      </c>
      <c r="P43">
        <f t="shared" si="1"/>
        <v>-0.29850815219410282</v>
      </c>
      <c r="Q43">
        <f t="shared" si="2"/>
        <v>112.3046875</v>
      </c>
      <c r="R43">
        <f t="shared" si="3"/>
        <v>-0.16758062808421503</v>
      </c>
      <c r="S43">
        <f t="shared" si="4"/>
        <v>195.3125</v>
      </c>
      <c r="T43">
        <f t="shared" si="5"/>
        <v>-2.118591327442505</v>
      </c>
      <c r="U43">
        <v>0.38657846200000001</v>
      </c>
      <c r="V43">
        <v>56</v>
      </c>
      <c r="W43">
        <v>29</v>
      </c>
      <c r="X43">
        <v>3.77</v>
      </c>
      <c r="Y43">
        <v>87</v>
      </c>
      <c r="Z43">
        <v>37</v>
      </c>
      <c r="AA43">
        <v>25</v>
      </c>
      <c r="AB43">
        <v>25</v>
      </c>
      <c r="AC43" t="s">
        <v>25</v>
      </c>
      <c r="AD43">
        <v>14</v>
      </c>
      <c r="AE43">
        <v>8</v>
      </c>
      <c r="AF43">
        <v>8</v>
      </c>
      <c r="AG43">
        <v>6</v>
      </c>
      <c r="AH43">
        <v>5</v>
      </c>
      <c r="AI43">
        <v>12</v>
      </c>
      <c r="AJ43">
        <v>8</v>
      </c>
      <c r="AK43">
        <v>13</v>
      </c>
      <c r="AL43">
        <v>13</v>
      </c>
      <c r="AM43" s="2">
        <v>100</v>
      </c>
    </row>
    <row r="44" spans="1:39" x14ac:dyDescent="0.2">
      <c r="A44">
        <v>53</v>
      </c>
      <c r="B44" t="s">
        <v>33</v>
      </c>
      <c r="C44">
        <v>111.328125</v>
      </c>
      <c r="D44">
        <v>-1.7925300288758499</v>
      </c>
      <c r="E44">
        <v>113.28125</v>
      </c>
      <c r="F44">
        <v>-1.4577868427759699</v>
      </c>
      <c r="G44">
        <v>119.140625</v>
      </c>
      <c r="H44">
        <v>-2.4677957185805299</v>
      </c>
      <c r="I44">
        <v>115.234375</v>
      </c>
      <c r="J44">
        <v>-2.40773398400923</v>
      </c>
      <c r="K44">
        <v>207.03125</v>
      </c>
      <c r="L44">
        <v>-3.7956562473608</v>
      </c>
      <c r="M44">
        <v>205.078125</v>
      </c>
      <c r="N44">
        <v>-3.68220062415118</v>
      </c>
      <c r="O44">
        <f t="shared" si="0"/>
        <v>112.3046875</v>
      </c>
      <c r="P44">
        <f t="shared" si="1"/>
        <v>-1.6251584358259099</v>
      </c>
      <c r="Q44">
        <f t="shared" si="2"/>
        <v>117.1875</v>
      </c>
      <c r="R44">
        <f t="shared" si="3"/>
        <v>-2.43776485129488</v>
      </c>
      <c r="S44">
        <f t="shared" si="4"/>
        <v>206.0546875</v>
      </c>
      <c r="T44">
        <f t="shared" si="5"/>
        <v>-3.73892843575599</v>
      </c>
      <c r="U44">
        <v>0.37190192300000002</v>
      </c>
      <c r="V44">
        <v>54</v>
      </c>
      <c r="W44">
        <v>27</v>
      </c>
      <c r="X44">
        <v>3.8</v>
      </c>
      <c r="Y44">
        <v>92</v>
      </c>
      <c r="Z44">
        <v>47</v>
      </c>
      <c r="AA44">
        <v>26</v>
      </c>
      <c r="AB44">
        <v>19</v>
      </c>
      <c r="AC44" t="s">
        <v>27</v>
      </c>
      <c r="AD44">
        <v>15</v>
      </c>
      <c r="AE44">
        <v>12</v>
      </c>
      <c r="AF44">
        <v>12</v>
      </c>
      <c r="AG44">
        <v>7</v>
      </c>
      <c r="AH44">
        <v>4</v>
      </c>
      <c r="AI44">
        <v>6</v>
      </c>
      <c r="AJ44">
        <v>8</v>
      </c>
      <c r="AK44">
        <v>13</v>
      </c>
      <c r="AL44">
        <v>15</v>
      </c>
      <c r="AM44" s="2">
        <v>99.8</v>
      </c>
    </row>
    <row r="45" spans="1:39" x14ac:dyDescent="0.2">
      <c r="A45">
        <v>54</v>
      </c>
      <c r="B45" t="s">
        <v>33</v>
      </c>
      <c r="C45">
        <v>138.671875</v>
      </c>
      <c r="D45">
        <v>8.8171052816858594E-2</v>
      </c>
      <c r="E45">
        <v>138.671875</v>
      </c>
      <c r="F45">
        <v>3.3107571899593603E-2</v>
      </c>
      <c r="G45">
        <v>138.671875</v>
      </c>
      <c r="H45">
        <v>-0.31726832049498699</v>
      </c>
      <c r="I45">
        <v>138.671875</v>
      </c>
      <c r="J45">
        <v>-0.14976125774110299</v>
      </c>
      <c r="K45">
        <v>230.46875</v>
      </c>
      <c r="L45">
        <v>-1.51828859611763</v>
      </c>
      <c r="M45">
        <v>228.515625</v>
      </c>
      <c r="N45">
        <v>-2.14299902985264</v>
      </c>
      <c r="O45">
        <f t="shared" si="0"/>
        <v>138.671875</v>
      </c>
      <c r="P45">
        <f t="shared" si="1"/>
        <v>6.0639312358226102E-2</v>
      </c>
      <c r="Q45">
        <f t="shared" si="2"/>
        <v>138.671875</v>
      </c>
      <c r="R45">
        <f t="shared" si="3"/>
        <v>-0.23351478911804499</v>
      </c>
      <c r="S45">
        <f t="shared" si="4"/>
        <v>229.4921875</v>
      </c>
      <c r="T45">
        <f t="shared" si="5"/>
        <v>-1.830643812985135</v>
      </c>
      <c r="U45">
        <v>0.50021199999999999</v>
      </c>
      <c r="V45">
        <v>48</v>
      </c>
      <c r="W45">
        <v>20</v>
      </c>
      <c r="X45">
        <v>3.2</v>
      </c>
      <c r="Y45">
        <v>85</v>
      </c>
      <c r="Z45">
        <v>16</v>
      </c>
      <c r="AA45">
        <v>39</v>
      </c>
      <c r="AB45">
        <v>30</v>
      </c>
      <c r="AC45" t="s">
        <v>25</v>
      </c>
      <c r="AD45">
        <v>16</v>
      </c>
      <c r="AE45">
        <v>5</v>
      </c>
      <c r="AF45">
        <v>5</v>
      </c>
      <c r="AG45">
        <v>12</v>
      </c>
      <c r="AH45">
        <v>11</v>
      </c>
      <c r="AI45">
        <v>14</v>
      </c>
      <c r="AJ45">
        <v>0</v>
      </c>
      <c r="AK45">
        <v>16</v>
      </c>
      <c r="AL45">
        <v>6</v>
      </c>
      <c r="AM45" s="2">
        <v>99.7</v>
      </c>
    </row>
    <row r="46" spans="1:39" x14ac:dyDescent="0.2">
      <c r="A46">
        <v>57</v>
      </c>
      <c r="B46" t="s">
        <v>33</v>
      </c>
      <c r="C46">
        <v>111.328125</v>
      </c>
      <c r="D46">
        <v>-2.7618880109358299</v>
      </c>
      <c r="E46">
        <v>111.328125</v>
      </c>
      <c r="F46">
        <v>-3.4596404728693502</v>
      </c>
      <c r="G46">
        <v>119.140625</v>
      </c>
      <c r="H46">
        <v>-2.9621345299741502</v>
      </c>
      <c r="I46">
        <v>121.09375</v>
      </c>
      <c r="J46">
        <v>-3.0869268585110299</v>
      </c>
      <c r="K46">
        <v>181.640625</v>
      </c>
      <c r="L46">
        <v>-2.6018582709329601</v>
      </c>
      <c r="M46">
        <v>173.828125</v>
      </c>
      <c r="N46">
        <v>-3.4871345800434801</v>
      </c>
      <c r="O46">
        <f t="shared" si="0"/>
        <v>111.328125</v>
      </c>
      <c r="P46">
        <f t="shared" si="1"/>
        <v>-3.11076424190259</v>
      </c>
      <c r="Q46">
        <f t="shared" si="2"/>
        <v>120.1171875</v>
      </c>
      <c r="R46">
        <f t="shared" si="3"/>
        <v>-3.02453069424259</v>
      </c>
      <c r="S46">
        <f t="shared" si="4"/>
        <v>177.734375</v>
      </c>
      <c r="T46">
        <f t="shared" si="5"/>
        <v>-3.0444964254882203</v>
      </c>
      <c r="U46">
        <v>0.35781947400000003</v>
      </c>
      <c r="V46">
        <v>50</v>
      </c>
      <c r="W46">
        <v>15</v>
      </c>
      <c r="X46">
        <v>3.5</v>
      </c>
      <c r="Y46">
        <v>91</v>
      </c>
      <c r="Z46">
        <v>30</v>
      </c>
      <c r="AA46">
        <v>39</v>
      </c>
      <c r="AB46">
        <v>22</v>
      </c>
      <c r="AC46" t="s">
        <v>23</v>
      </c>
      <c r="AD46">
        <v>15</v>
      </c>
      <c r="AE46">
        <v>12</v>
      </c>
      <c r="AF46">
        <v>9</v>
      </c>
      <c r="AG46">
        <v>12</v>
      </c>
      <c r="AH46">
        <v>12</v>
      </c>
      <c r="AI46">
        <v>8</v>
      </c>
      <c r="AJ46">
        <v>0</v>
      </c>
      <c r="AK46">
        <v>14</v>
      </c>
      <c r="AL46">
        <v>9</v>
      </c>
      <c r="AM46" s="2">
        <v>99</v>
      </c>
    </row>
    <row r="47" spans="1:39" x14ac:dyDescent="0.2">
      <c r="A47">
        <v>59</v>
      </c>
      <c r="B47" t="s">
        <v>33</v>
      </c>
      <c r="C47">
        <v>121.09375</v>
      </c>
      <c r="D47">
        <v>2.80447212547449</v>
      </c>
      <c r="E47">
        <v>80.078125</v>
      </c>
      <c r="F47">
        <v>2.5228572504384301</v>
      </c>
      <c r="G47">
        <v>80.078125</v>
      </c>
      <c r="H47">
        <v>2.08185403391247</v>
      </c>
      <c r="I47">
        <v>80.078125</v>
      </c>
      <c r="J47">
        <v>1.84151945221533</v>
      </c>
      <c r="K47">
        <v>212.890625</v>
      </c>
      <c r="L47">
        <v>-3.01608002311943</v>
      </c>
      <c r="M47">
        <v>214.84375</v>
      </c>
      <c r="N47">
        <v>-2.6755943325685299</v>
      </c>
      <c r="O47">
        <f t="shared" si="0"/>
        <v>100.5859375</v>
      </c>
      <c r="P47">
        <f t="shared" si="1"/>
        <v>2.6636646879564601</v>
      </c>
      <c r="Q47">
        <f t="shared" si="2"/>
        <v>80.078125</v>
      </c>
      <c r="R47">
        <f t="shared" si="3"/>
        <v>1.9616867430639</v>
      </c>
      <c r="S47">
        <f t="shared" si="4"/>
        <v>213.8671875</v>
      </c>
      <c r="T47">
        <f t="shared" si="5"/>
        <v>-2.8458371778439799</v>
      </c>
      <c r="U47">
        <v>0.41590375000000002</v>
      </c>
      <c r="V47">
        <v>52</v>
      </c>
      <c r="W47">
        <v>28</v>
      </c>
      <c r="X47">
        <v>3.25</v>
      </c>
      <c r="Y47">
        <v>101</v>
      </c>
      <c r="Z47">
        <v>33</v>
      </c>
      <c r="AA47">
        <v>36</v>
      </c>
      <c r="AB47">
        <v>32</v>
      </c>
      <c r="AC47" t="s">
        <v>25</v>
      </c>
      <c r="AD47">
        <v>16</v>
      </c>
      <c r="AE47">
        <v>7</v>
      </c>
      <c r="AF47">
        <v>5</v>
      </c>
      <c r="AG47">
        <v>11</v>
      </c>
      <c r="AH47">
        <v>9</v>
      </c>
      <c r="AI47">
        <v>16</v>
      </c>
      <c r="AJ47">
        <v>9</v>
      </c>
      <c r="AK47">
        <v>16</v>
      </c>
      <c r="AL47">
        <v>12</v>
      </c>
      <c r="AM47" s="2">
        <v>90.3</v>
      </c>
    </row>
    <row r="48" spans="1:39" x14ac:dyDescent="0.2">
      <c r="A48">
        <v>68</v>
      </c>
      <c r="B48" t="s">
        <v>33</v>
      </c>
      <c r="C48">
        <v>111.328125</v>
      </c>
      <c r="D48">
        <v>-6.3078280273088403</v>
      </c>
      <c r="E48">
        <v>109.375</v>
      </c>
      <c r="F48">
        <v>-7.2353851121454804</v>
      </c>
      <c r="G48">
        <v>117.1875</v>
      </c>
      <c r="H48">
        <v>-8.8197162069670707</v>
      </c>
      <c r="I48">
        <v>115.234375</v>
      </c>
      <c r="J48">
        <v>-8.5175748938302096</v>
      </c>
      <c r="K48">
        <v>232.421875</v>
      </c>
      <c r="L48">
        <v>-2.97572573506211</v>
      </c>
      <c r="M48">
        <v>248.046875</v>
      </c>
      <c r="N48">
        <v>-3.5997371508451601</v>
      </c>
      <c r="O48">
        <f t="shared" si="0"/>
        <v>110.3515625</v>
      </c>
      <c r="P48">
        <f t="shared" si="1"/>
        <v>-6.7716065697271599</v>
      </c>
      <c r="Q48">
        <f t="shared" si="2"/>
        <v>116.2109375</v>
      </c>
      <c r="R48">
        <f>AVERAGE(H48,J48)</f>
        <v>-8.6686455503986402</v>
      </c>
      <c r="S48">
        <f t="shared" si="4"/>
        <v>240.234375</v>
      </c>
      <c r="T48">
        <f t="shared" si="5"/>
        <v>-3.2877314429536351</v>
      </c>
      <c r="U48">
        <v>0.39513458299999998</v>
      </c>
      <c r="V48">
        <v>55</v>
      </c>
      <c r="W48">
        <v>13</v>
      </c>
      <c r="X48">
        <v>2.5</v>
      </c>
      <c r="Y48">
        <v>89</v>
      </c>
      <c r="Z48">
        <v>32</v>
      </c>
      <c r="AA48">
        <v>33</v>
      </c>
      <c r="AB48">
        <v>24</v>
      </c>
      <c r="AC48" t="s">
        <v>25</v>
      </c>
      <c r="AD48">
        <v>16</v>
      </c>
      <c r="AE48">
        <v>8</v>
      </c>
      <c r="AF48">
        <v>6</v>
      </c>
      <c r="AG48">
        <v>7</v>
      </c>
      <c r="AH48">
        <v>10</v>
      </c>
      <c r="AI48">
        <v>11</v>
      </c>
      <c r="AJ48">
        <v>7</v>
      </c>
      <c r="AK48">
        <v>13</v>
      </c>
      <c r="AL48">
        <v>11</v>
      </c>
      <c r="AM48" s="2">
        <v>99.8</v>
      </c>
    </row>
    <row r="49" spans="1:39" x14ac:dyDescent="0.2">
      <c r="A49">
        <v>76</v>
      </c>
      <c r="B49" t="s">
        <v>33</v>
      </c>
      <c r="C49">
        <v>136.71875</v>
      </c>
      <c r="D49">
        <v>-1.24770144615004</v>
      </c>
      <c r="E49">
        <v>138.671875</v>
      </c>
      <c r="F49">
        <v>-1.7483310011078099</v>
      </c>
      <c r="G49">
        <v>80.078125</v>
      </c>
      <c r="H49">
        <v>-0.46315463332308499</v>
      </c>
      <c r="I49">
        <v>138.671875</v>
      </c>
      <c r="J49">
        <v>-0.85439242934985904</v>
      </c>
      <c r="K49">
        <v>226.5625</v>
      </c>
      <c r="L49">
        <v>-3.1327157339771698</v>
      </c>
      <c r="M49">
        <v>242.1875</v>
      </c>
      <c r="N49">
        <v>-1.4546942534245899</v>
      </c>
      <c r="O49">
        <f t="shared" si="0"/>
        <v>137.6953125</v>
      </c>
      <c r="P49">
        <f t="shared" si="1"/>
        <v>-1.4980162236289249</v>
      </c>
      <c r="Q49">
        <f t="shared" si="2"/>
        <v>109.375</v>
      </c>
      <c r="R49">
        <f t="shared" si="3"/>
        <v>-0.65877353133647198</v>
      </c>
      <c r="S49">
        <f t="shared" si="4"/>
        <v>234.375</v>
      </c>
      <c r="T49">
        <f>AVERAGE(L49,N49)</f>
        <v>-2.2937049937008798</v>
      </c>
      <c r="U49">
        <v>0.3533288</v>
      </c>
      <c r="V49">
        <v>51</v>
      </c>
      <c r="W49">
        <v>22</v>
      </c>
      <c r="X49">
        <v>3.8</v>
      </c>
      <c r="Y49">
        <v>88</v>
      </c>
      <c r="Z49">
        <v>29</v>
      </c>
      <c r="AA49">
        <v>36</v>
      </c>
      <c r="AB49">
        <v>23</v>
      </c>
      <c r="AC49" t="s">
        <v>25</v>
      </c>
      <c r="AD49">
        <v>16</v>
      </c>
      <c r="AE49">
        <v>8</v>
      </c>
      <c r="AF49">
        <v>8</v>
      </c>
      <c r="AG49">
        <v>12</v>
      </c>
      <c r="AH49">
        <v>8</v>
      </c>
      <c r="AI49">
        <v>10</v>
      </c>
      <c r="AJ49">
        <v>10</v>
      </c>
      <c r="AK49">
        <v>13</v>
      </c>
      <c r="AL49">
        <v>3</v>
      </c>
      <c r="AM49" s="2">
        <v>99.7</v>
      </c>
    </row>
    <row r="50" spans="1:39" x14ac:dyDescent="0.2">
      <c r="A50">
        <v>79</v>
      </c>
      <c r="B50" t="s">
        <v>33</v>
      </c>
      <c r="C50">
        <v>130.859375</v>
      </c>
      <c r="D50">
        <v>-1.6272385844913</v>
      </c>
      <c r="E50">
        <v>128.90625</v>
      </c>
      <c r="F50">
        <v>-1.8508056340938199</v>
      </c>
      <c r="G50">
        <v>134.765625</v>
      </c>
      <c r="H50">
        <v>0.38444495066876</v>
      </c>
      <c r="I50">
        <v>134.765625</v>
      </c>
      <c r="J50">
        <v>-1.2186573279291801E-2</v>
      </c>
      <c r="K50">
        <v>218.75</v>
      </c>
      <c r="L50">
        <v>-1.92985647679272</v>
      </c>
      <c r="M50">
        <v>216.796875</v>
      </c>
      <c r="N50">
        <v>-1.92173912848447</v>
      </c>
      <c r="O50">
        <f t="shared" si="0"/>
        <v>129.8828125</v>
      </c>
      <c r="P50">
        <f t="shared" si="1"/>
        <v>-1.73902210929256</v>
      </c>
      <c r="Q50">
        <f t="shared" si="2"/>
        <v>134.765625</v>
      </c>
      <c r="R50">
        <f t="shared" si="3"/>
        <v>0.1861291886947341</v>
      </c>
      <c r="S50">
        <f t="shared" si="4"/>
        <v>217.7734375</v>
      </c>
      <c r="T50">
        <f t="shared" si="5"/>
        <v>-1.9257978026385949</v>
      </c>
      <c r="U50">
        <v>0.39081500000000002</v>
      </c>
      <c r="V50">
        <v>51</v>
      </c>
      <c r="W50">
        <v>22</v>
      </c>
      <c r="X50">
        <v>4</v>
      </c>
      <c r="Y50">
        <v>85</v>
      </c>
      <c r="Z50">
        <v>36</v>
      </c>
      <c r="AA50">
        <v>26</v>
      </c>
      <c r="AB50">
        <v>23</v>
      </c>
      <c r="AC50" t="s">
        <v>25</v>
      </c>
      <c r="AD50">
        <v>11</v>
      </c>
      <c r="AE50">
        <v>9</v>
      </c>
      <c r="AF50">
        <v>9</v>
      </c>
      <c r="AG50">
        <v>8</v>
      </c>
      <c r="AH50">
        <v>7</v>
      </c>
      <c r="AI50">
        <v>11</v>
      </c>
      <c r="AJ50">
        <v>10</v>
      </c>
      <c r="AK50">
        <v>12</v>
      </c>
      <c r="AL50">
        <v>8</v>
      </c>
      <c r="AM50" s="2">
        <v>99.5</v>
      </c>
    </row>
    <row r="51" spans="1:39" x14ac:dyDescent="0.2">
      <c r="A51">
        <v>90</v>
      </c>
      <c r="B51" t="s">
        <v>33</v>
      </c>
      <c r="C51">
        <v>138.671875</v>
      </c>
      <c r="D51">
        <v>0.56965386314718502</v>
      </c>
      <c r="E51">
        <v>132.8125</v>
      </c>
      <c r="F51">
        <v>0.26254035190479003</v>
      </c>
      <c r="G51">
        <v>138.671875</v>
      </c>
      <c r="H51">
        <v>-6.6496593158912806E-2</v>
      </c>
      <c r="I51">
        <v>138.671875</v>
      </c>
      <c r="J51">
        <v>-9.0270815539625904E-3</v>
      </c>
      <c r="K51">
        <v>169.921875</v>
      </c>
      <c r="L51">
        <v>-4.0920955116819098</v>
      </c>
      <c r="M51">
        <v>171.875</v>
      </c>
      <c r="N51">
        <v>-3.2464459314054301</v>
      </c>
      <c r="O51">
        <f t="shared" si="0"/>
        <v>135.7421875</v>
      </c>
      <c r="P51">
        <f t="shared" si="1"/>
        <v>0.4160971075259875</v>
      </c>
      <c r="Q51">
        <f t="shared" si="2"/>
        <v>138.671875</v>
      </c>
      <c r="R51">
        <f t="shared" si="3"/>
        <v>-3.7761837356437698E-2</v>
      </c>
      <c r="S51">
        <f t="shared" si="4"/>
        <v>170.8984375</v>
      </c>
      <c r="T51">
        <f t="shared" si="5"/>
        <v>-3.6692707215436702</v>
      </c>
      <c r="U51">
        <v>0.352376154</v>
      </c>
      <c r="V51">
        <v>57</v>
      </c>
      <c r="W51">
        <v>28</v>
      </c>
      <c r="X51">
        <v>4</v>
      </c>
      <c r="Y51">
        <v>87</v>
      </c>
      <c r="Z51">
        <v>35</v>
      </c>
      <c r="AA51">
        <v>28</v>
      </c>
      <c r="AB51">
        <v>24</v>
      </c>
      <c r="AC51" t="s">
        <v>25</v>
      </c>
      <c r="AD51">
        <v>14</v>
      </c>
      <c r="AE51">
        <v>10</v>
      </c>
      <c r="AF51">
        <v>6</v>
      </c>
      <c r="AG51">
        <v>7</v>
      </c>
      <c r="AH51">
        <v>7</v>
      </c>
      <c r="AI51">
        <v>11</v>
      </c>
      <c r="AJ51">
        <v>8</v>
      </c>
      <c r="AK51">
        <v>13</v>
      </c>
      <c r="AL51">
        <v>11</v>
      </c>
      <c r="AM51" s="2">
        <v>95.2</v>
      </c>
    </row>
    <row r="52" spans="1:39" x14ac:dyDescent="0.2">
      <c r="A52">
        <v>91</v>
      </c>
      <c r="B52" t="s">
        <v>33</v>
      </c>
      <c r="C52">
        <v>125</v>
      </c>
      <c r="D52">
        <v>-5.07853832174633</v>
      </c>
      <c r="E52">
        <v>126.953125</v>
      </c>
      <c r="F52">
        <v>-4.3217307637507902</v>
      </c>
      <c r="G52">
        <v>130.859375</v>
      </c>
      <c r="H52">
        <v>-5.4669710098386801</v>
      </c>
      <c r="I52">
        <v>134.765625</v>
      </c>
      <c r="J52">
        <v>-5.8837662015857202</v>
      </c>
      <c r="K52">
        <v>183.59375</v>
      </c>
      <c r="L52">
        <v>-3.54649477540136</v>
      </c>
      <c r="M52">
        <v>167.96875</v>
      </c>
      <c r="N52">
        <v>-2.3887739100729299</v>
      </c>
      <c r="O52">
        <f t="shared" si="0"/>
        <v>125.9765625</v>
      </c>
      <c r="P52">
        <f t="shared" si="1"/>
        <v>-4.7001345427485601</v>
      </c>
      <c r="Q52">
        <f t="shared" si="2"/>
        <v>132.8125</v>
      </c>
      <c r="R52">
        <f t="shared" si="3"/>
        <v>-5.6753686057122001</v>
      </c>
      <c r="S52">
        <f t="shared" si="4"/>
        <v>175.78125</v>
      </c>
      <c r="T52">
        <f t="shared" si="5"/>
        <v>-2.9676343427371448</v>
      </c>
      <c r="U52">
        <v>0.35638954499999997</v>
      </c>
      <c r="V52">
        <v>47</v>
      </c>
      <c r="W52">
        <v>20</v>
      </c>
      <c r="X52">
        <v>3</v>
      </c>
      <c r="Y52">
        <v>92</v>
      </c>
      <c r="Z52">
        <v>49</v>
      </c>
      <c r="AA52">
        <v>18</v>
      </c>
      <c r="AB52">
        <v>25</v>
      </c>
      <c r="AC52" t="s">
        <v>25</v>
      </c>
      <c r="AD52">
        <v>8</v>
      </c>
      <c r="AE52">
        <v>12</v>
      </c>
      <c r="AF52">
        <v>10</v>
      </c>
      <c r="AG52">
        <v>5</v>
      </c>
      <c r="AH52">
        <v>5</v>
      </c>
      <c r="AI52">
        <v>9</v>
      </c>
      <c r="AJ52">
        <v>12</v>
      </c>
      <c r="AK52">
        <v>16</v>
      </c>
      <c r="AL52">
        <v>15</v>
      </c>
      <c r="AM52" s="2">
        <v>99</v>
      </c>
    </row>
    <row r="53" spans="1:39" x14ac:dyDescent="0.2">
      <c r="A53">
        <v>93</v>
      </c>
      <c r="B53" t="s">
        <v>33</v>
      </c>
      <c r="C53">
        <v>117.1875</v>
      </c>
      <c r="D53">
        <v>-0.96339895496571204</v>
      </c>
      <c r="E53">
        <v>119.140625</v>
      </c>
      <c r="F53">
        <v>-1.05894977491868</v>
      </c>
      <c r="G53">
        <v>134.765625</v>
      </c>
      <c r="H53">
        <v>-2.26278550999807</v>
      </c>
      <c r="I53">
        <v>134.765625</v>
      </c>
      <c r="J53">
        <v>-1.7194278519314501</v>
      </c>
      <c r="K53">
        <v>195.3125</v>
      </c>
      <c r="L53">
        <v>-2.8673464474628201</v>
      </c>
      <c r="M53">
        <v>177.734375</v>
      </c>
      <c r="N53">
        <v>-2.5685329878869498</v>
      </c>
      <c r="O53">
        <f t="shared" si="0"/>
        <v>118.1640625</v>
      </c>
      <c r="P53">
        <f t="shared" si="1"/>
        <v>-1.011174364942196</v>
      </c>
      <c r="Q53">
        <f t="shared" si="2"/>
        <v>134.765625</v>
      </c>
      <c r="R53">
        <f t="shared" si="3"/>
        <v>-1.99110668096476</v>
      </c>
      <c r="S53">
        <f t="shared" si="4"/>
        <v>186.5234375</v>
      </c>
      <c r="T53">
        <f t="shared" si="5"/>
        <v>-2.7179397176748852</v>
      </c>
      <c r="U53">
        <v>0.37769000000000003</v>
      </c>
      <c r="V53">
        <v>48</v>
      </c>
      <c r="W53">
        <v>17</v>
      </c>
      <c r="X53">
        <v>3.2</v>
      </c>
      <c r="Y53">
        <v>91</v>
      </c>
      <c r="Z53">
        <v>31</v>
      </c>
      <c r="AA53">
        <v>34</v>
      </c>
      <c r="AB53">
        <v>26</v>
      </c>
      <c r="AC53" t="s">
        <v>25</v>
      </c>
      <c r="AD53">
        <v>14</v>
      </c>
      <c r="AE53">
        <v>9</v>
      </c>
      <c r="AF53">
        <v>6</v>
      </c>
      <c r="AG53">
        <v>10</v>
      </c>
      <c r="AH53">
        <v>10</v>
      </c>
      <c r="AI53">
        <v>14</v>
      </c>
      <c r="AJ53">
        <v>2</v>
      </c>
      <c r="AK53">
        <v>12</v>
      </c>
      <c r="AL53">
        <v>14</v>
      </c>
      <c r="AM53" s="2">
        <v>92.6</v>
      </c>
    </row>
    <row r="54" spans="1:39" x14ac:dyDescent="0.2">
      <c r="A54">
        <v>94</v>
      </c>
      <c r="B54" t="s">
        <v>33</v>
      </c>
      <c r="C54">
        <v>117.1875</v>
      </c>
      <c r="D54">
        <v>-5.9950694417302097</v>
      </c>
      <c r="E54">
        <v>117.1875</v>
      </c>
      <c r="F54">
        <v>-5.4690368958197597</v>
      </c>
      <c r="G54">
        <v>121.09375</v>
      </c>
      <c r="H54">
        <v>-9.22003980906881</v>
      </c>
      <c r="I54">
        <v>121.09375</v>
      </c>
      <c r="J54">
        <v>-8.4053173516712594</v>
      </c>
      <c r="K54">
        <v>201.171875</v>
      </c>
      <c r="L54">
        <v>-4.5626037932898802</v>
      </c>
      <c r="M54">
        <v>201.171875</v>
      </c>
      <c r="N54">
        <v>-4.0277826260563598</v>
      </c>
      <c r="O54">
        <f t="shared" si="0"/>
        <v>117.1875</v>
      </c>
      <c r="P54">
        <f t="shared" si="1"/>
        <v>-5.7320531687749847</v>
      </c>
      <c r="Q54">
        <f t="shared" si="2"/>
        <v>121.09375</v>
      </c>
      <c r="R54">
        <f t="shared" si="3"/>
        <v>-8.8126785803700347</v>
      </c>
      <c r="S54">
        <f t="shared" si="4"/>
        <v>201.171875</v>
      </c>
      <c r="T54">
        <f t="shared" si="5"/>
        <v>-4.29519320967312</v>
      </c>
      <c r="U54">
        <v>0.34348769200000001</v>
      </c>
      <c r="V54">
        <v>47</v>
      </c>
      <c r="W54">
        <v>23</v>
      </c>
      <c r="X54">
        <v>3.87</v>
      </c>
      <c r="Y54">
        <v>86</v>
      </c>
      <c r="Z54">
        <v>37</v>
      </c>
      <c r="AA54">
        <v>27</v>
      </c>
      <c r="AB54">
        <v>22</v>
      </c>
      <c r="AC54" t="s">
        <v>23</v>
      </c>
      <c r="AD54">
        <v>15</v>
      </c>
      <c r="AE54">
        <v>6</v>
      </c>
      <c r="AF54">
        <v>2</v>
      </c>
      <c r="AG54">
        <v>7</v>
      </c>
      <c r="AH54">
        <v>5</v>
      </c>
      <c r="AI54">
        <v>15</v>
      </c>
      <c r="AJ54">
        <v>15</v>
      </c>
      <c r="AK54">
        <v>7</v>
      </c>
      <c r="AL54">
        <v>14</v>
      </c>
      <c r="AM54" s="2">
        <v>99.7</v>
      </c>
    </row>
    <row r="55" spans="1:39" x14ac:dyDescent="0.2">
      <c r="A55">
        <v>95</v>
      </c>
      <c r="B55" t="s">
        <v>33</v>
      </c>
      <c r="C55">
        <v>103.515625</v>
      </c>
      <c r="D55">
        <v>-0.71576555147567</v>
      </c>
      <c r="E55">
        <v>128.90625</v>
      </c>
      <c r="F55">
        <v>-0.77233207168532103</v>
      </c>
      <c r="G55">
        <v>138.671875</v>
      </c>
      <c r="H55">
        <v>-1.95375020629031</v>
      </c>
      <c r="I55">
        <v>138.671875</v>
      </c>
      <c r="J55">
        <v>-2.1283954297060301</v>
      </c>
      <c r="K55">
        <v>201.171875</v>
      </c>
      <c r="L55">
        <v>-3.2262600534650199</v>
      </c>
      <c r="M55">
        <v>150.390625</v>
      </c>
      <c r="N55">
        <v>-1.9518676953228999</v>
      </c>
      <c r="O55">
        <f t="shared" si="0"/>
        <v>116.2109375</v>
      </c>
      <c r="P55">
        <f t="shared" si="1"/>
        <v>-0.74404881158049552</v>
      </c>
      <c r="Q55">
        <f t="shared" si="2"/>
        <v>138.671875</v>
      </c>
      <c r="R55">
        <f t="shared" si="3"/>
        <v>-2.0410728179981703</v>
      </c>
      <c r="S55">
        <f t="shared" si="4"/>
        <v>175.78125</v>
      </c>
      <c r="T55">
        <f t="shared" si="5"/>
        <v>-2.5890638743939598</v>
      </c>
      <c r="U55">
        <v>0.40990399999999999</v>
      </c>
      <c r="V55">
        <v>53</v>
      </c>
      <c r="W55">
        <v>24</v>
      </c>
      <c r="X55">
        <v>3.9</v>
      </c>
      <c r="Y55">
        <v>91</v>
      </c>
      <c r="Z55">
        <v>35</v>
      </c>
      <c r="AA55">
        <v>33</v>
      </c>
      <c r="AB55">
        <v>23</v>
      </c>
      <c r="AC55" t="s">
        <v>25</v>
      </c>
      <c r="AD55">
        <v>12</v>
      </c>
      <c r="AE55">
        <v>9</v>
      </c>
      <c r="AF55">
        <v>8</v>
      </c>
      <c r="AG55">
        <v>12</v>
      </c>
      <c r="AH55">
        <v>9</v>
      </c>
      <c r="AI55">
        <v>11</v>
      </c>
      <c r="AJ55">
        <v>4</v>
      </c>
      <c r="AK55">
        <v>12</v>
      </c>
      <c r="AL55">
        <v>14</v>
      </c>
      <c r="AM55" s="2">
        <v>99.8</v>
      </c>
    </row>
    <row r="56" spans="1:39" x14ac:dyDescent="0.2">
      <c r="A56">
        <v>96</v>
      </c>
      <c r="B56" t="s">
        <v>33</v>
      </c>
      <c r="C56">
        <v>109.375</v>
      </c>
      <c r="D56">
        <v>-2.71955900776562</v>
      </c>
      <c r="E56">
        <v>111.328125</v>
      </c>
      <c r="F56">
        <v>-2.7937279826649299</v>
      </c>
      <c r="G56">
        <v>105.46875</v>
      </c>
      <c r="H56">
        <v>-2.2006773733624501</v>
      </c>
      <c r="I56">
        <v>117.1875</v>
      </c>
      <c r="J56">
        <v>-2.93797608383329</v>
      </c>
      <c r="K56">
        <v>250</v>
      </c>
      <c r="L56">
        <v>-0.110656697899344</v>
      </c>
      <c r="M56">
        <v>246.09375</v>
      </c>
      <c r="N56">
        <v>-0.13089983179553</v>
      </c>
      <c r="O56">
        <f t="shared" si="0"/>
        <v>110.3515625</v>
      </c>
      <c r="P56">
        <f t="shared" si="1"/>
        <v>-2.756643495215275</v>
      </c>
      <c r="Q56">
        <f t="shared" si="2"/>
        <v>111.328125</v>
      </c>
      <c r="R56">
        <f t="shared" si="3"/>
        <v>-2.5693267285978703</v>
      </c>
      <c r="S56">
        <f t="shared" si="4"/>
        <v>248.046875</v>
      </c>
      <c r="T56">
        <f t="shared" si="5"/>
        <v>-0.12077826484743701</v>
      </c>
      <c r="U56">
        <v>0.413332857</v>
      </c>
      <c r="V56">
        <v>45</v>
      </c>
      <c r="W56">
        <v>21</v>
      </c>
      <c r="X56">
        <v>3</v>
      </c>
      <c r="Y56">
        <v>92</v>
      </c>
      <c r="Z56">
        <v>40</v>
      </c>
      <c r="AA56">
        <v>29</v>
      </c>
      <c r="AB56">
        <v>23</v>
      </c>
      <c r="AC56" t="s">
        <v>25</v>
      </c>
      <c r="AD56">
        <v>12</v>
      </c>
      <c r="AE56">
        <v>9</v>
      </c>
      <c r="AF56">
        <v>9</v>
      </c>
      <c r="AG56">
        <v>9</v>
      </c>
      <c r="AH56">
        <v>8</v>
      </c>
      <c r="AI56">
        <v>12</v>
      </c>
      <c r="AJ56">
        <v>11</v>
      </c>
      <c r="AK56">
        <v>11</v>
      </c>
      <c r="AL56">
        <v>11</v>
      </c>
      <c r="AM56" s="2">
        <v>95.8</v>
      </c>
    </row>
    <row r="57" spans="1:39" x14ac:dyDescent="0.2">
      <c r="A57">
        <v>98</v>
      </c>
      <c r="B57" t="s">
        <v>33</v>
      </c>
      <c r="C57">
        <v>121.09375</v>
      </c>
      <c r="D57">
        <v>-0.78622723684750695</v>
      </c>
      <c r="E57">
        <v>111.328125</v>
      </c>
      <c r="F57">
        <v>-1.3083048297016699</v>
      </c>
      <c r="G57">
        <v>109.375</v>
      </c>
      <c r="H57">
        <v>-0.27345778338158699</v>
      </c>
      <c r="I57">
        <v>109.375</v>
      </c>
      <c r="J57">
        <v>-0.98723459210507303</v>
      </c>
      <c r="K57">
        <v>203.125</v>
      </c>
      <c r="L57">
        <v>-2.0392694467723702</v>
      </c>
      <c r="M57">
        <v>201.171875</v>
      </c>
      <c r="N57">
        <v>-2.0399911091277501</v>
      </c>
      <c r="O57">
        <f t="shared" si="0"/>
        <v>116.2109375</v>
      </c>
      <c r="P57">
        <f t="shared" si="1"/>
        <v>-1.0472660332745884</v>
      </c>
      <c r="Q57">
        <f t="shared" si="2"/>
        <v>109.375</v>
      </c>
      <c r="R57">
        <f t="shared" si="3"/>
        <v>-0.63034618774333007</v>
      </c>
      <c r="S57">
        <f t="shared" si="4"/>
        <v>202.1484375</v>
      </c>
      <c r="T57">
        <f t="shared" si="5"/>
        <v>-2.0396302779500601</v>
      </c>
      <c r="U57">
        <v>0.38482846199999998</v>
      </c>
      <c r="V57">
        <v>57</v>
      </c>
      <c r="W57">
        <v>33</v>
      </c>
      <c r="X57">
        <v>3.9</v>
      </c>
      <c r="Y57">
        <v>85</v>
      </c>
      <c r="Z57">
        <v>36</v>
      </c>
      <c r="AA57">
        <v>20</v>
      </c>
      <c r="AB57">
        <v>29</v>
      </c>
      <c r="AC57" t="s">
        <v>25</v>
      </c>
      <c r="AD57">
        <v>15</v>
      </c>
      <c r="AE57">
        <v>10</v>
      </c>
      <c r="AF57">
        <v>10</v>
      </c>
      <c r="AG57">
        <v>1</v>
      </c>
      <c r="AH57">
        <v>4</v>
      </c>
      <c r="AI57">
        <v>14</v>
      </c>
      <c r="AJ57">
        <v>6</v>
      </c>
      <c r="AK57">
        <v>15</v>
      </c>
      <c r="AL57">
        <v>10</v>
      </c>
      <c r="AM57" s="2">
        <v>98.2</v>
      </c>
    </row>
    <row r="58" spans="1:39" x14ac:dyDescent="0.2">
      <c r="A58">
        <v>99</v>
      </c>
      <c r="B58" t="s">
        <v>33</v>
      </c>
      <c r="C58">
        <v>128.90625</v>
      </c>
      <c r="D58">
        <v>-1.42126033614475</v>
      </c>
      <c r="E58">
        <v>126.953125</v>
      </c>
      <c r="F58">
        <v>-1.7461374963269101</v>
      </c>
      <c r="G58">
        <v>134.765625</v>
      </c>
      <c r="H58">
        <v>-0.91375304863885798</v>
      </c>
      <c r="I58">
        <v>136.71875</v>
      </c>
      <c r="J58">
        <v>-1.3312145769897701</v>
      </c>
      <c r="K58">
        <v>248.046875</v>
      </c>
      <c r="L58">
        <v>-2.35716772232839</v>
      </c>
      <c r="M58">
        <v>246.09375</v>
      </c>
      <c r="N58">
        <v>-2.3394213387410598</v>
      </c>
      <c r="O58">
        <f t="shared" si="0"/>
        <v>127.9296875</v>
      </c>
      <c r="P58">
        <f t="shared" si="1"/>
        <v>-1.5836989162358299</v>
      </c>
      <c r="Q58">
        <f t="shared" si="2"/>
        <v>135.7421875</v>
      </c>
      <c r="R58">
        <f t="shared" si="3"/>
        <v>-1.122483812814314</v>
      </c>
      <c r="S58">
        <f t="shared" si="4"/>
        <v>247.0703125</v>
      </c>
      <c r="T58">
        <f t="shared" si="5"/>
        <v>-2.3482945305347247</v>
      </c>
      <c r="U58">
        <v>0.38020749999999998</v>
      </c>
      <c r="V58">
        <v>54</v>
      </c>
      <c r="W58">
        <v>41</v>
      </c>
      <c r="X58">
        <v>4</v>
      </c>
      <c r="Y58">
        <v>89</v>
      </c>
      <c r="Z58">
        <v>32</v>
      </c>
      <c r="AA58">
        <v>35</v>
      </c>
      <c r="AB58">
        <v>22</v>
      </c>
      <c r="AC58" t="s">
        <v>23</v>
      </c>
      <c r="AD58">
        <v>16</v>
      </c>
      <c r="AE58">
        <v>6</v>
      </c>
      <c r="AF58">
        <v>9</v>
      </c>
      <c r="AG58">
        <v>12</v>
      </c>
      <c r="AH58">
        <v>7</v>
      </c>
      <c r="AI58">
        <v>7</v>
      </c>
      <c r="AJ58">
        <v>7</v>
      </c>
      <c r="AK58">
        <v>15</v>
      </c>
      <c r="AL58">
        <v>10</v>
      </c>
      <c r="AM58" s="2">
        <v>98.7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Torrens</cp:lastModifiedBy>
  <dcterms:created xsi:type="dcterms:W3CDTF">2025-10-05T02:51:50Z</dcterms:created>
  <dcterms:modified xsi:type="dcterms:W3CDTF">2025-10-19T05:51:30Z</dcterms:modified>
</cp:coreProperties>
</file>