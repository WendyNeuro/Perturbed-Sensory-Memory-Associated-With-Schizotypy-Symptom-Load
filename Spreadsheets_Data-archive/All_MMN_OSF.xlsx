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yalfonso-torrens/Documents/Conferences and Presentations/SOBP/SOBP_2025/MMN_Analyzed/"/>
    </mc:Choice>
  </mc:AlternateContent>
  <xr:revisionPtr revIDLastSave="0" documentId="13_ncr:1_{46D8D0E6-77B9-9947-92A1-B7DB4152667D}" xr6:coauthVersionLast="47" xr6:coauthVersionMax="47" xr10:uidLastSave="{00000000-0000-0000-0000-000000000000}"/>
  <bookViews>
    <workbookView xWindow="240" yWindow="1180" windowWidth="14620" windowHeight="16880" xr2:uid="{D71D7B78-7C24-314B-90E3-FA3C2300A837}"/>
  </bookViews>
  <sheets>
    <sheet name="Sheet1" sheetId="3" r:id="rId1"/>
  </sheets>
  <definedNames>
    <definedName name="_xlnm._FilterDatabase" localSheetId="0" hidden="1">Sheet1!$AB$1:$AB$58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7" i="3" l="1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3" i="3"/>
  <c r="X2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3" i="3"/>
  <c r="U2" i="3"/>
  <c r="R52" i="3"/>
  <c r="R53" i="3"/>
  <c r="R54" i="3"/>
  <c r="R55" i="3"/>
  <c r="R56" i="3"/>
  <c r="R57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" i="3"/>
  <c r="R2" i="3"/>
  <c r="O47" i="3"/>
  <c r="O48" i="3"/>
  <c r="O49" i="3"/>
  <c r="O50" i="3"/>
  <c r="O51" i="3"/>
  <c r="O52" i="3"/>
  <c r="O53" i="3"/>
  <c r="O54" i="3"/>
  <c r="O55" i="3"/>
  <c r="O56" i="3"/>
  <c r="O57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3" i="3"/>
  <c r="O2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3" i="3"/>
  <c r="L4" i="3"/>
  <c r="L2" i="3"/>
  <c r="I48" i="3"/>
  <c r="I49" i="3"/>
  <c r="I50" i="3"/>
  <c r="I51" i="3"/>
  <c r="I52" i="3"/>
  <c r="I53" i="3"/>
  <c r="I54" i="3"/>
  <c r="I55" i="3"/>
  <c r="I56" i="3"/>
  <c r="I57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" i="3"/>
  <c r="I2" i="3"/>
</calcChain>
</file>

<file path=xl/sharedStrings.xml><?xml version="1.0" encoding="utf-8"?>
<sst xmlns="http://schemas.openxmlformats.org/spreadsheetml/2006/main" count="152" uniqueCount="46">
  <si>
    <t>7KL</t>
  </si>
  <si>
    <t>control</t>
  </si>
  <si>
    <t>high</t>
  </si>
  <si>
    <t>ID</t>
  </si>
  <si>
    <t>Group</t>
  </si>
  <si>
    <t>Total_Score</t>
  </si>
  <si>
    <t>Cognitive_Perceptual</t>
  </si>
  <si>
    <t>Interpersonal</t>
  </si>
  <si>
    <t>Disorganized</t>
  </si>
  <si>
    <t>Social_Anxiety</t>
  </si>
  <si>
    <t>Ideas_of_reference</t>
  </si>
  <si>
    <t>Suspiciousness</t>
  </si>
  <si>
    <t>No_close_friends</t>
  </si>
  <si>
    <t>Constricted_affect</t>
  </si>
  <si>
    <t>Eccentric_thinking</t>
  </si>
  <si>
    <t>Magical_Thinking</t>
  </si>
  <si>
    <t>Odd_speech</t>
  </si>
  <si>
    <t>Unusual_perceptions</t>
  </si>
  <si>
    <t>Standard_Fz</t>
  </si>
  <si>
    <t>Standard_Cz</t>
  </si>
  <si>
    <t>Standard_Cz_Corrected</t>
  </si>
  <si>
    <t>Standard_Fz_Corrected</t>
  </si>
  <si>
    <t>Standard_average_FZ_CZ</t>
  </si>
  <si>
    <t>Standard_average_FZ_CZ_corrected</t>
  </si>
  <si>
    <t>Deviant_Fz</t>
  </si>
  <si>
    <t>Deviant_Cz</t>
  </si>
  <si>
    <t>Deviant_average_FZ_CZ</t>
  </si>
  <si>
    <t>Deviant_Fz_Corrected</t>
  </si>
  <si>
    <t>Deviant_Cz_Corrected</t>
  </si>
  <si>
    <t>Deviant_average_FZ_CZ_corrected</t>
  </si>
  <si>
    <t>MMN_Fz</t>
  </si>
  <si>
    <t>MMN_Cz</t>
  </si>
  <si>
    <t>MMN_average_Fz_Cz</t>
  </si>
  <si>
    <t>MMN_Fz_Corrected</t>
  </si>
  <si>
    <t>MMN_average_Fz_Cz_corrected</t>
  </si>
  <si>
    <t>MMN_Cz_Corrected</t>
  </si>
  <si>
    <t>Raven_Score</t>
  </si>
  <si>
    <t>Raven_Time</t>
  </si>
  <si>
    <t>GPA</t>
  </si>
  <si>
    <t>RT_mean</t>
  </si>
  <si>
    <t>Disorganized_Split</t>
  </si>
  <si>
    <t>No</t>
  </si>
  <si>
    <t>Low</t>
  </si>
  <si>
    <t>Median</t>
  </si>
  <si>
    <t>High</t>
  </si>
  <si>
    <t>Epochs_kept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</si>
</sst>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0" xfId="0" applyFont="1"/>
    <xf numFmtId="0" fontId="5" fillId="0" borderId="0" xfId="0" applyFont="1"/>
    <xf numFmtId="2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2AD3-77A5-AF4C-988D-FBEE73C37218}">
  <dimension ref="A1:AM58"/>
  <sheetViews>
    <sheetView tabSelected="1" topLeftCell="N1" workbookViewId="0">
      <selection activeCell="AP49" sqref="AP49"/>
    </sheetView>
  </sheetViews>
  <sheetFormatPr baseColWidth="10" defaultRowHeight="16" x14ac:dyDescent="0.2"/>
  <cols>
    <col min="2" max="6" width="10.83203125" style="1"/>
  </cols>
  <sheetData>
    <row r="1" spans="1:39" s="6" customFormat="1" x14ac:dyDescent="0.2">
      <c r="A1" s="5" t="s">
        <v>4</v>
      </c>
      <c r="B1" s="4" t="s">
        <v>3</v>
      </c>
      <c r="C1" s="4" t="s">
        <v>39</v>
      </c>
      <c r="D1" s="4" t="s">
        <v>36</v>
      </c>
      <c r="E1" s="4" t="s">
        <v>37</v>
      </c>
      <c r="F1" s="4" t="s">
        <v>38</v>
      </c>
      <c r="G1" s="2" t="s">
        <v>18</v>
      </c>
      <c r="H1" s="2" t="s">
        <v>19</v>
      </c>
      <c r="I1" s="2" t="s">
        <v>22</v>
      </c>
      <c r="J1" s="2" t="s">
        <v>21</v>
      </c>
      <c r="K1" s="2" t="s">
        <v>20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35</v>
      </c>
      <c r="X1" s="2" t="s">
        <v>34</v>
      </c>
      <c r="Y1" s="6" t="s">
        <v>5</v>
      </c>
      <c r="Z1" s="6" t="s">
        <v>6</v>
      </c>
      <c r="AA1" s="6" t="s">
        <v>7</v>
      </c>
      <c r="AB1" s="6" t="s">
        <v>8</v>
      </c>
      <c r="AC1" s="6" t="s">
        <v>40</v>
      </c>
      <c r="AD1" s="6" t="s">
        <v>9</v>
      </c>
      <c r="AE1" s="6" t="s">
        <v>10</v>
      </c>
      <c r="AF1" s="6" t="s">
        <v>11</v>
      </c>
      <c r="AG1" s="6" t="s">
        <v>12</v>
      </c>
      <c r="AH1" s="6" t="s">
        <v>13</v>
      </c>
      <c r="AI1" s="6" t="s">
        <v>14</v>
      </c>
      <c r="AJ1" s="6" t="s">
        <v>15</v>
      </c>
      <c r="AK1" s="6" t="s">
        <v>16</v>
      </c>
      <c r="AL1" s="6" t="s">
        <v>17</v>
      </c>
      <c r="AM1" s="6" t="s">
        <v>45</v>
      </c>
    </row>
    <row r="2" spans="1:39" x14ac:dyDescent="0.2">
      <c r="A2" t="s">
        <v>1</v>
      </c>
      <c r="B2" s="1">
        <v>1</v>
      </c>
      <c r="C2" s="3">
        <v>0.39814653846153802</v>
      </c>
      <c r="D2">
        <v>38</v>
      </c>
      <c r="E2">
        <v>45</v>
      </c>
      <c r="F2" s="8">
        <v>3.4</v>
      </c>
      <c r="G2" s="3">
        <v>-2.052</v>
      </c>
      <c r="H2" s="3">
        <v>-6.4000000000000001E-2</v>
      </c>
      <c r="I2">
        <f>AVERAGE(G2,H2)</f>
        <v>-1.0580000000000001</v>
      </c>
      <c r="J2" s="3">
        <v>-0.39400000000000002</v>
      </c>
      <c r="K2" s="3">
        <v>0.45600000000000002</v>
      </c>
      <c r="L2" s="3">
        <f>AVERAGE(J2,K2)</f>
        <v>3.1E-2</v>
      </c>
      <c r="M2" s="3">
        <v>-0.23899999999999999</v>
      </c>
      <c r="N2" s="3">
        <v>-0.71299999999999997</v>
      </c>
      <c r="O2" s="3">
        <f>AVERAGE(M2,N2)</f>
        <v>-0.47599999999999998</v>
      </c>
      <c r="P2" s="3">
        <v>0.82499999999999996</v>
      </c>
      <c r="Q2" s="3">
        <v>0.39400000000000002</v>
      </c>
      <c r="R2" s="3">
        <f>AVERAGE(P2,Q2)</f>
        <v>0.60949999999999993</v>
      </c>
      <c r="S2" s="3">
        <v>6.4000000000000001E-2</v>
      </c>
      <c r="T2" s="3">
        <v>-1.345</v>
      </c>
      <c r="U2" s="3">
        <f>AVERAGE(S2,T2)</f>
        <v>-0.64049999999999996</v>
      </c>
      <c r="V2" s="3">
        <v>-0.72699999999999998</v>
      </c>
      <c r="W2" s="3">
        <v>-0.64500000000000002</v>
      </c>
      <c r="X2" s="3">
        <f>AVERAGE(V2,W2)</f>
        <v>-0.68599999999999994</v>
      </c>
      <c r="Y2">
        <v>56</v>
      </c>
      <c r="Z2">
        <v>22</v>
      </c>
      <c r="AA2">
        <v>12</v>
      </c>
      <c r="AB2">
        <v>22</v>
      </c>
      <c r="AC2" t="s">
        <v>43</v>
      </c>
      <c r="AD2">
        <v>8</v>
      </c>
      <c r="AE2">
        <v>5</v>
      </c>
      <c r="AF2">
        <v>4</v>
      </c>
      <c r="AG2">
        <v>1</v>
      </c>
      <c r="AH2">
        <v>3</v>
      </c>
      <c r="AI2">
        <v>10</v>
      </c>
      <c r="AJ2">
        <v>8</v>
      </c>
      <c r="AK2">
        <v>12</v>
      </c>
      <c r="AL2">
        <v>5</v>
      </c>
      <c r="AM2" s="9">
        <v>94.4</v>
      </c>
    </row>
    <row r="3" spans="1:39" x14ac:dyDescent="0.2">
      <c r="A3" t="s">
        <v>1</v>
      </c>
      <c r="B3" s="1">
        <v>3</v>
      </c>
      <c r="C3" s="3">
        <v>0.47991576923076901</v>
      </c>
      <c r="D3">
        <v>51</v>
      </c>
      <c r="E3">
        <v>20</v>
      </c>
      <c r="F3" s="8">
        <v>3.49</v>
      </c>
      <c r="G3" s="3">
        <v>1.0169999999999999</v>
      </c>
      <c r="H3" s="3">
        <v>0.81699999999999995</v>
      </c>
      <c r="I3">
        <f>AVERAGE(G3,H3)</f>
        <v>0.91699999999999993</v>
      </c>
      <c r="J3" s="3">
        <v>0.86699999999999999</v>
      </c>
      <c r="K3" s="3">
        <v>0.64400000000000002</v>
      </c>
      <c r="L3" s="3">
        <f>AVERAGE(J3,K3)</f>
        <v>0.75550000000000006</v>
      </c>
      <c r="M3" s="3">
        <v>3.5870000000000002</v>
      </c>
      <c r="N3" s="3">
        <v>3.4849999999999999</v>
      </c>
      <c r="O3" s="3">
        <f>AVERAGE(M3,N3)</f>
        <v>3.536</v>
      </c>
      <c r="P3" s="3">
        <v>3.3239999999999998</v>
      </c>
      <c r="Q3" s="3">
        <v>3.0390000000000001</v>
      </c>
      <c r="R3" s="3">
        <f>AVERAGE(P3,Q3)</f>
        <v>3.1814999999999998</v>
      </c>
      <c r="S3" s="3">
        <v>-0.54600000000000004</v>
      </c>
      <c r="T3" s="3">
        <v>-0.13400000000000001</v>
      </c>
      <c r="U3" s="3">
        <f>AVERAGE(S3,T3)</f>
        <v>-0.34</v>
      </c>
      <c r="V3" s="3">
        <v>-0.48199999999999998</v>
      </c>
      <c r="W3" s="3">
        <v>-0.25900000000000001</v>
      </c>
      <c r="X3" s="3">
        <f>AVERAGE(V3,W3)</f>
        <v>-0.3705</v>
      </c>
      <c r="Y3">
        <v>56</v>
      </c>
      <c r="Z3">
        <v>18</v>
      </c>
      <c r="AA3">
        <v>8</v>
      </c>
      <c r="AB3">
        <v>30</v>
      </c>
      <c r="AC3" t="s">
        <v>44</v>
      </c>
      <c r="AD3">
        <v>6</v>
      </c>
      <c r="AE3">
        <v>8</v>
      </c>
      <c r="AF3">
        <v>4</v>
      </c>
      <c r="AG3">
        <v>1</v>
      </c>
      <c r="AH3">
        <v>1</v>
      </c>
      <c r="AI3">
        <v>14</v>
      </c>
      <c r="AJ3">
        <v>2</v>
      </c>
      <c r="AK3">
        <v>16</v>
      </c>
      <c r="AL3">
        <v>4</v>
      </c>
      <c r="AM3" s="9">
        <v>93.9</v>
      </c>
    </row>
    <row r="4" spans="1:39" x14ac:dyDescent="0.2">
      <c r="A4" t="s">
        <v>1</v>
      </c>
      <c r="B4" s="1">
        <v>4</v>
      </c>
      <c r="C4" s="3">
        <v>0.38455583333333299</v>
      </c>
      <c r="D4">
        <v>53</v>
      </c>
      <c r="E4">
        <v>20</v>
      </c>
      <c r="F4" s="8">
        <v>3.5</v>
      </c>
      <c r="G4" s="3">
        <v>-1.052</v>
      </c>
      <c r="H4" s="3">
        <v>-1.3240000000000001</v>
      </c>
      <c r="I4">
        <f t="shared" ref="I4:I57" si="0">AVERAGE(G4,H4)</f>
        <v>-1.1880000000000002</v>
      </c>
      <c r="J4" s="3">
        <v>-0.98499999999999999</v>
      </c>
      <c r="K4" s="3">
        <v>-1.4</v>
      </c>
      <c r="L4" s="3">
        <f>AVERAGE(J4,K4)</f>
        <v>-1.1924999999999999</v>
      </c>
      <c r="M4" s="3">
        <v>-1.2350000000000001</v>
      </c>
      <c r="N4" s="3">
        <v>-1.034</v>
      </c>
      <c r="O4" s="3">
        <f t="shared" ref="O4:O57" si="1">AVERAGE(M4,N4)</f>
        <v>-1.1345000000000001</v>
      </c>
      <c r="P4" s="3">
        <v>-1.3240000000000001</v>
      </c>
      <c r="Q4" s="3">
        <v>-1.212</v>
      </c>
      <c r="R4" s="3">
        <f t="shared" ref="R4:R29" si="2">AVERAGE(P4,Q4)</f>
        <v>-1.268</v>
      </c>
      <c r="S4" s="3">
        <v>-0.25600000000000001</v>
      </c>
      <c r="T4" s="3">
        <v>0.17199999999999999</v>
      </c>
      <c r="U4" s="3">
        <f t="shared" ref="U4:U57" si="3">AVERAGE(S4,T4)</f>
        <v>-4.200000000000001E-2</v>
      </c>
      <c r="V4" s="3">
        <v>-0.01</v>
      </c>
      <c r="W4" s="3">
        <v>0.107</v>
      </c>
      <c r="X4" s="3">
        <f t="shared" ref="X4:X56" si="4">AVERAGE(V4,W4)</f>
        <v>4.8500000000000001E-2</v>
      </c>
      <c r="Y4">
        <v>59</v>
      </c>
      <c r="Z4">
        <v>28</v>
      </c>
      <c r="AA4">
        <v>18</v>
      </c>
      <c r="AB4">
        <v>13</v>
      </c>
      <c r="AC4" t="s">
        <v>42</v>
      </c>
      <c r="AD4">
        <v>8</v>
      </c>
      <c r="AE4">
        <v>9</v>
      </c>
      <c r="AF4">
        <v>8</v>
      </c>
      <c r="AG4">
        <v>5</v>
      </c>
      <c r="AH4">
        <v>5</v>
      </c>
      <c r="AI4">
        <v>5</v>
      </c>
      <c r="AJ4">
        <v>5</v>
      </c>
      <c r="AK4">
        <v>8</v>
      </c>
      <c r="AL4">
        <v>6</v>
      </c>
      <c r="AM4" s="9">
        <v>99.4</v>
      </c>
    </row>
    <row r="5" spans="1:39" x14ac:dyDescent="0.2">
      <c r="A5" t="s">
        <v>1</v>
      </c>
      <c r="B5" s="1">
        <v>5</v>
      </c>
      <c r="C5" s="3">
        <v>0.358850454545455</v>
      </c>
      <c r="D5">
        <v>46</v>
      </c>
      <c r="E5">
        <v>30</v>
      </c>
      <c r="F5" s="8">
        <v>3.84</v>
      </c>
      <c r="G5" s="3">
        <v>-3.4009999999999998</v>
      </c>
      <c r="H5" s="3">
        <v>-2.5379999999999998</v>
      </c>
      <c r="I5">
        <f t="shared" si="0"/>
        <v>-2.9695</v>
      </c>
      <c r="J5" s="3">
        <v>-2.3439999999999999</v>
      </c>
      <c r="K5" s="3">
        <v>-2.218</v>
      </c>
      <c r="L5" s="3">
        <f t="shared" ref="L5:L57" si="5">AVERAGE(J5,K5)</f>
        <v>-2.2809999999999997</v>
      </c>
      <c r="M5" s="3">
        <v>-4.806</v>
      </c>
      <c r="N5" s="3">
        <v>-3.5939999999999999</v>
      </c>
      <c r="O5" s="3">
        <f t="shared" si="1"/>
        <v>-4.2</v>
      </c>
      <c r="P5" s="3">
        <v>-3.4750000000000001</v>
      </c>
      <c r="Q5" s="3">
        <v>-3.258</v>
      </c>
      <c r="R5" s="3">
        <f t="shared" si="2"/>
        <v>-3.3665000000000003</v>
      </c>
      <c r="S5" s="3">
        <v>-0.78400000000000003</v>
      </c>
      <c r="T5" s="3">
        <v>-0.46400000000000002</v>
      </c>
      <c r="U5" s="3">
        <f t="shared" si="3"/>
        <v>-0.624</v>
      </c>
      <c r="V5" s="3">
        <v>-0.67900000000000005</v>
      </c>
      <c r="W5" s="3">
        <v>-0.47599999999999998</v>
      </c>
      <c r="X5" s="3">
        <f t="shared" si="4"/>
        <v>-0.57750000000000001</v>
      </c>
      <c r="Y5">
        <v>59</v>
      </c>
      <c r="Z5">
        <v>21</v>
      </c>
      <c r="AA5">
        <v>19</v>
      </c>
      <c r="AB5">
        <v>19</v>
      </c>
      <c r="AC5" t="s">
        <v>42</v>
      </c>
      <c r="AD5">
        <v>7</v>
      </c>
      <c r="AE5">
        <v>8</v>
      </c>
      <c r="AF5">
        <v>5</v>
      </c>
      <c r="AG5">
        <v>7</v>
      </c>
      <c r="AH5">
        <v>5</v>
      </c>
      <c r="AI5">
        <v>7</v>
      </c>
      <c r="AJ5">
        <v>2</v>
      </c>
      <c r="AK5">
        <v>12</v>
      </c>
      <c r="AL5">
        <v>6</v>
      </c>
      <c r="AM5" s="9">
        <v>90.7</v>
      </c>
    </row>
    <row r="6" spans="1:39" x14ac:dyDescent="0.2">
      <c r="A6" t="s">
        <v>1</v>
      </c>
      <c r="B6" s="1">
        <v>6</v>
      </c>
      <c r="C6" s="3">
        <v>0.394335833333333</v>
      </c>
      <c r="D6">
        <v>52</v>
      </c>
      <c r="E6">
        <v>35</v>
      </c>
      <c r="F6" s="8">
        <v>3.5</v>
      </c>
      <c r="G6" s="3">
        <v>-0.44</v>
      </c>
      <c r="H6" s="3">
        <v>-1.1180000000000001</v>
      </c>
      <c r="I6">
        <f t="shared" si="0"/>
        <v>-0.77900000000000003</v>
      </c>
      <c r="J6" s="3">
        <v>0.88800000000000001</v>
      </c>
      <c r="K6" s="3">
        <v>-0.109</v>
      </c>
      <c r="L6" s="3">
        <f t="shared" si="5"/>
        <v>0.38950000000000001</v>
      </c>
      <c r="M6" s="3">
        <v>-3.1779999999999999</v>
      </c>
      <c r="N6" s="3">
        <v>-3.1509999999999998</v>
      </c>
      <c r="O6" s="3">
        <f t="shared" si="1"/>
        <v>-3.1644999999999999</v>
      </c>
      <c r="P6" s="3">
        <v>-0.66200000000000003</v>
      </c>
      <c r="Q6" s="3">
        <v>-1.698</v>
      </c>
      <c r="R6" s="3">
        <f t="shared" si="2"/>
        <v>-1.18</v>
      </c>
      <c r="S6" s="3">
        <v>-2.9180000000000001</v>
      </c>
      <c r="T6" s="3">
        <v>-1.1559999999999999</v>
      </c>
      <c r="U6" s="3">
        <f t="shared" si="3"/>
        <v>-2.0369999999999999</v>
      </c>
      <c r="V6" s="3">
        <v>-1.0740000000000001</v>
      </c>
      <c r="W6" s="3">
        <v>-0.16600000000000001</v>
      </c>
      <c r="X6" s="3">
        <f t="shared" si="4"/>
        <v>-0.62</v>
      </c>
      <c r="Y6">
        <v>52</v>
      </c>
      <c r="Z6">
        <v>22</v>
      </c>
      <c r="AA6">
        <v>14</v>
      </c>
      <c r="AB6">
        <v>16</v>
      </c>
      <c r="AC6" t="s">
        <v>42</v>
      </c>
      <c r="AD6">
        <v>7</v>
      </c>
      <c r="AE6">
        <v>9</v>
      </c>
      <c r="AF6">
        <v>8</v>
      </c>
      <c r="AG6">
        <v>3</v>
      </c>
      <c r="AH6">
        <v>4</v>
      </c>
      <c r="AI6">
        <v>4</v>
      </c>
      <c r="AJ6">
        <v>0</v>
      </c>
      <c r="AK6">
        <v>12</v>
      </c>
      <c r="AL6">
        <v>5</v>
      </c>
      <c r="AM6" s="9">
        <v>94.6</v>
      </c>
    </row>
    <row r="7" spans="1:39" x14ac:dyDescent="0.2">
      <c r="A7" t="s">
        <v>1</v>
      </c>
      <c r="B7" s="1">
        <v>10</v>
      </c>
      <c r="C7" s="3">
        <v>0.47519280000000003</v>
      </c>
      <c r="D7">
        <v>49</v>
      </c>
      <c r="E7">
        <v>11</v>
      </c>
      <c r="F7" s="8">
        <v>3.5</v>
      </c>
      <c r="G7" s="3">
        <v>-2.2530000000000001</v>
      </c>
      <c r="H7" s="3">
        <v>-1.762</v>
      </c>
      <c r="I7">
        <f t="shared" si="0"/>
        <v>-2.0075000000000003</v>
      </c>
      <c r="J7" s="3">
        <v>-2.0369999999999999</v>
      </c>
      <c r="K7" s="3">
        <v>-1.7050000000000001</v>
      </c>
      <c r="L7" s="3">
        <f t="shared" si="5"/>
        <v>-1.871</v>
      </c>
      <c r="M7" s="3">
        <v>-3.593</v>
      </c>
      <c r="N7" s="3">
        <v>-0.75800000000000001</v>
      </c>
      <c r="O7" s="3">
        <f t="shared" si="1"/>
        <v>-2.1755</v>
      </c>
      <c r="P7" s="3">
        <v>-2.524</v>
      </c>
      <c r="Q7" s="3">
        <v>-0.85699999999999998</v>
      </c>
      <c r="R7" s="3">
        <f t="shared" si="2"/>
        <v>-1.6905000000000001</v>
      </c>
      <c r="S7" s="3">
        <v>-1.3779999999999999</v>
      </c>
      <c r="T7" s="3">
        <v>4.3999999999999997E-2</v>
      </c>
      <c r="U7" s="3">
        <f t="shared" si="3"/>
        <v>-0.66699999999999993</v>
      </c>
      <c r="V7" s="3">
        <v>-0.47499999999999998</v>
      </c>
      <c r="W7" s="3">
        <v>3.1E-2</v>
      </c>
      <c r="X7" s="3">
        <f t="shared" si="4"/>
        <v>-0.22199999999999998</v>
      </c>
      <c r="Y7">
        <v>58</v>
      </c>
      <c r="Z7">
        <v>23</v>
      </c>
      <c r="AA7">
        <v>18</v>
      </c>
      <c r="AB7">
        <v>17</v>
      </c>
      <c r="AC7" t="s">
        <v>42</v>
      </c>
      <c r="AD7">
        <v>9</v>
      </c>
      <c r="AE7">
        <v>8</v>
      </c>
      <c r="AF7">
        <v>5</v>
      </c>
      <c r="AG7">
        <v>3</v>
      </c>
      <c r="AH7">
        <v>6</v>
      </c>
      <c r="AI7">
        <v>5</v>
      </c>
      <c r="AJ7">
        <v>4</v>
      </c>
      <c r="AK7">
        <v>12</v>
      </c>
      <c r="AL7">
        <v>6</v>
      </c>
      <c r="AM7">
        <v>94.9</v>
      </c>
    </row>
    <row r="8" spans="1:39" x14ac:dyDescent="0.2">
      <c r="A8" t="s">
        <v>1</v>
      </c>
      <c r="B8" s="1">
        <v>31</v>
      </c>
      <c r="C8" s="3">
        <v>0.4036264</v>
      </c>
      <c r="D8">
        <v>55</v>
      </c>
      <c r="E8">
        <v>23</v>
      </c>
      <c r="F8" s="8">
        <v>3.6</v>
      </c>
      <c r="G8" s="3">
        <v>-2.0289999999999999</v>
      </c>
      <c r="H8" s="3">
        <v>-2.7130000000000001</v>
      </c>
      <c r="I8">
        <f t="shared" si="0"/>
        <v>-2.371</v>
      </c>
      <c r="J8" s="3">
        <v>-1.381</v>
      </c>
      <c r="K8" s="3">
        <v>-2.2269999999999999</v>
      </c>
      <c r="L8" s="3">
        <f t="shared" si="5"/>
        <v>-1.8039999999999998</v>
      </c>
      <c r="M8" s="3">
        <v>-0.94199999999999995</v>
      </c>
      <c r="N8" s="3">
        <v>-0.71599999999999997</v>
      </c>
      <c r="O8" s="3">
        <f t="shared" si="1"/>
        <v>-0.82899999999999996</v>
      </c>
      <c r="P8" s="3">
        <v>8.8999999999999996E-2</v>
      </c>
      <c r="Q8" s="3">
        <v>-0.68200000000000005</v>
      </c>
      <c r="R8" s="3">
        <f t="shared" si="2"/>
        <v>-0.29650000000000004</v>
      </c>
      <c r="S8" s="3">
        <v>-2.746</v>
      </c>
      <c r="T8" s="3">
        <v>-1.913</v>
      </c>
      <c r="U8" s="3">
        <f t="shared" si="3"/>
        <v>-2.3294999999999999</v>
      </c>
      <c r="V8" s="3">
        <v>-2.0489999999999999</v>
      </c>
      <c r="W8" s="3">
        <v>-2.6680000000000001</v>
      </c>
      <c r="X8" s="3">
        <f t="shared" si="4"/>
        <v>-2.3585000000000003</v>
      </c>
      <c r="Y8">
        <v>69</v>
      </c>
      <c r="Z8">
        <v>26</v>
      </c>
      <c r="AA8">
        <v>20</v>
      </c>
      <c r="AB8">
        <v>23</v>
      </c>
      <c r="AC8" t="s">
        <v>44</v>
      </c>
      <c r="AD8">
        <v>14</v>
      </c>
      <c r="AE8">
        <v>9</v>
      </c>
      <c r="AF8">
        <v>7</v>
      </c>
      <c r="AG8">
        <v>4</v>
      </c>
      <c r="AH8">
        <v>2</v>
      </c>
      <c r="AI8">
        <v>10</v>
      </c>
      <c r="AJ8">
        <v>2</v>
      </c>
      <c r="AK8">
        <v>13</v>
      </c>
      <c r="AL8">
        <v>8</v>
      </c>
      <c r="AM8">
        <v>96.2</v>
      </c>
    </row>
    <row r="9" spans="1:39" x14ac:dyDescent="0.2">
      <c r="A9" t="s">
        <v>1</v>
      </c>
      <c r="B9" s="1">
        <v>32</v>
      </c>
      <c r="C9" s="3">
        <v>0.41584655172413798</v>
      </c>
      <c r="D9">
        <v>52</v>
      </c>
      <c r="E9">
        <v>35</v>
      </c>
      <c r="F9" s="8">
        <v>4</v>
      </c>
      <c r="G9" s="3">
        <v>-0.85099999999999998</v>
      </c>
      <c r="H9" s="3">
        <v>-0.70899999999999996</v>
      </c>
      <c r="I9">
        <f t="shared" si="0"/>
        <v>-0.78</v>
      </c>
      <c r="J9" s="3">
        <v>-0.45400000000000001</v>
      </c>
      <c r="K9" s="3">
        <v>-0.61399999999999999</v>
      </c>
      <c r="L9" s="3">
        <f t="shared" si="5"/>
        <v>-0.53400000000000003</v>
      </c>
      <c r="M9" s="3">
        <v>-0.52400000000000002</v>
      </c>
      <c r="N9" s="3">
        <v>-0.67200000000000004</v>
      </c>
      <c r="O9" s="3">
        <f t="shared" si="1"/>
        <v>-0.59800000000000009</v>
      </c>
      <c r="P9" s="3">
        <v>-0.105</v>
      </c>
      <c r="Q9" s="3">
        <v>-0.11899999999999999</v>
      </c>
      <c r="R9" s="3">
        <f t="shared" si="2"/>
        <v>-0.11199999999999999</v>
      </c>
      <c r="S9" s="3">
        <v>-2.8050000000000002</v>
      </c>
      <c r="T9" s="3">
        <v>-2.96</v>
      </c>
      <c r="U9" s="3">
        <f t="shared" si="3"/>
        <v>-2.8825000000000003</v>
      </c>
      <c r="V9" s="3">
        <v>-2.577</v>
      </c>
      <c r="W9" s="3">
        <v>-2.3420000000000001</v>
      </c>
      <c r="X9" s="3">
        <f t="shared" si="4"/>
        <v>-2.4595000000000002</v>
      </c>
      <c r="Y9">
        <v>53</v>
      </c>
      <c r="Z9">
        <v>19</v>
      </c>
      <c r="AA9">
        <v>8</v>
      </c>
      <c r="AB9">
        <v>26</v>
      </c>
      <c r="AC9" t="s">
        <v>44</v>
      </c>
      <c r="AD9">
        <v>6</v>
      </c>
      <c r="AE9">
        <v>4</v>
      </c>
      <c r="AF9">
        <v>5</v>
      </c>
      <c r="AG9">
        <v>1</v>
      </c>
      <c r="AH9">
        <v>1</v>
      </c>
      <c r="AI9">
        <v>15</v>
      </c>
      <c r="AJ9">
        <v>0</v>
      </c>
      <c r="AK9">
        <v>11</v>
      </c>
      <c r="AL9">
        <v>10</v>
      </c>
      <c r="AM9">
        <v>89.2</v>
      </c>
    </row>
    <row r="10" spans="1:39" x14ac:dyDescent="0.2">
      <c r="A10" t="s">
        <v>1</v>
      </c>
      <c r="B10" s="1">
        <v>34</v>
      </c>
      <c r="C10" s="3">
        <v>0.39839217391304299</v>
      </c>
      <c r="D10">
        <v>44</v>
      </c>
      <c r="E10">
        <v>13</v>
      </c>
      <c r="F10" s="8">
        <v>2</v>
      </c>
      <c r="G10" s="3">
        <v>-5.3440000000000003</v>
      </c>
      <c r="H10" s="3">
        <v>-5.2859999999999996</v>
      </c>
      <c r="I10">
        <f t="shared" si="0"/>
        <v>-5.3149999999999995</v>
      </c>
      <c r="J10" s="3">
        <v>-3.351</v>
      </c>
      <c r="K10" s="3">
        <v>-3.5950000000000002</v>
      </c>
      <c r="L10" s="3">
        <f t="shared" si="5"/>
        <v>-3.4729999999999999</v>
      </c>
      <c r="M10" s="3">
        <v>-4.931</v>
      </c>
      <c r="N10" s="3">
        <v>-4.6980000000000004</v>
      </c>
      <c r="O10" s="3">
        <f t="shared" si="1"/>
        <v>-4.8145000000000007</v>
      </c>
      <c r="P10" s="3">
        <v>-2.8929999999999998</v>
      </c>
      <c r="Q10" s="3">
        <v>-3.0569999999999999</v>
      </c>
      <c r="R10" s="3">
        <f t="shared" si="2"/>
        <v>-2.9749999999999996</v>
      </c>
      <c r="S10" s="3">
        <v>-1.3460000000000001</v>
      </c>
      <c r="T10" s="3">
        <v>-1.6160000000000001</v>
      </c>
      <c r="U10" s="3">
        <f t="shared" si="3"/>
        <v>-1.4810000000000001</v>
      </c>
      <c r="V10" s="3">
        <v>-1.0209999999999999</v>
      </c>
      <c r="W10" s="3">
        <v>-1.306</v>
      </c>
      <c r="X10" s="3">
        <f t="shared" si="4"/>
        <v>-1.1635</v>
      </c>
      <c r="Y10">
        <v>70</v>
      </c>
      <c r="Z10">
        <v>21</v>
      </c>
      <c r="AA10">
        <v>27</v>
      </c>
      <c r="AB10">
        <v>22</v>
      </c>
      <c r="AC10" t="s">
        <v>41</v>
      </c>
      <c r="AD10">
        <v>14</v>
      </c>
      <c r="AE10">
        <v>7</v>
      </c>
      <c r="AF10">
        <v>5</v>
      </c>
      <c r="AG10">
        <v>6</v>
      </c>
      <c r="AH10">
        <v>7</v>
      </c>
      <c r="AI10">
        <v>7</v>
      </c>
      <c r="AJ10">
        <v>4</v>
      </c>
      <c r="AK10">
        <v>15</v>
      </c>
      <c r="AL10">
        <v>5</v>
      </c>
      <c r="AM10">
        <v>91.3</v>
      </c>
    </row>
    <row r="11" spans="1:39" x14ac:dyDescent="0.2">
      <c r="A11" t="s">
        <v>1</v>
      </c>
      <c r="B11" s="1">
        <v>35</v>
      </c>
      <c r="C11" s="3">
        <v>0.4435944</v>
      </c>
      <c r="D11">
        <v>47</v>
      </c>
      <c r="E11">
        <v>31</v>
      </c>
      <c r="F11" s="8">
        <v>3.2</v>
      </c>
      <c r="G11" s="3">
        <v>1.58</v>
      </c>
      <c r="H11" s="3">
        <v>1.244</v>
      </c>
      <c r="I11">
        <f t="shared" si="0"/>
        <v>1.4119999999999999</v>
      </c>
      <c r="J11" s="3">
        <v>2.0510000000000002</v>
      </c>
      <c r="K11" s="3">
        <v>1.427</v>
      </c>
      <c r="L11" s="3">
        <f t="shared" si="5"/>
        <v>1.7390000000000001</v>
      </c>
      <c r="M11" s="3">
        <v>1.238</v>
      </c>
      <c r="N11" s="3">
        <v>0.68500000000000005</v>
      </c>
      <c r="O11" s="3">
        <f t="shared" si="1"/>
        <v>0.96150000000000002</v>
      </c>
      <c r="P11" s="3">
        <v>3.464</v>
      </c>
      <c r="Q11" s="3">
        <v>1.994</v>
      </c>
      <c r="R11" s="3">
        <f t="shared" si="2"/>
        <v>2.7290000000000001</v>
      </c>
      <c r="S11" s="3">
        <v>-5.4539999999999997</v>
      </c>
      <c r="T11" s="3">
        <v>-3.2719999999999998</v>
      </c>
      <c r="U11" s="3">
        <f t="shared" si="3"/>
        <v>-4.3629999999999995</v>
      </c>
      <c r="V11" s="3">
        <v>-2.7080000000000002</v>
      </c>
      <c r="W11" s="3">
        <v>-1.34</v>
      </c>
      <c r="X11" s="3">
        <f t="shared" si="4"/>
        <v>-2.024</v>
      </c>
      <c r="Y11">
        <v>59</v>
      </c>
      <c r="Z11">
        <v>28</v>
      </c>
      <c r="AA11">
        <v>5</v>
      </c>
      <c r="AB11">
        <v>26</v>
      </c>
      <c r="AC11" t="s">
        <v>44</v>
      </c>
      <c r="AD11">
        <v>5</v>
      </c>
      <c r="AE11">
        <v>9</v>
      </c>
      <c r="AF11">
        <v>4</v>
      </c>
      <c r="AG11">
        <v>0</v>
      </c>
      <c r="AH11">
        <v>0</v>
      </c>
      <c r="AI11">
        <v>13</v>
      </c>
      <c r="AJ11">
        <v>7</v>
      </c>
      <c r="AK11">
        <v>13</v>
      </c>
      <c r="AL11">
        <v>8</v>
      </c>
      <c r="AM11">
        <v>94.1</v>
      </c>
    </row>
    <row r="12" spans="1:39" x14ac:dyDescent="0.2">
      <c r="A12" t="s">
        <v>1</v>
      </c>
      <c r="B12" s="1">
        <v>36</v>
      </c>
      <c r="C12" s="3">
        <v>0.36399458333333301</v>
      </c>
      <c r="D12">
        <v>58</v>
      </c>
      <c r="E12">
        <v>42</v>
      </c>
      <c r="F12" s="8">
        <v>3.9</v>
      </c>
      <c r="G12" s="3">
        <v>-2.4980000000000002</v>
      </c>
      <c r="H12" s="3">
        <v>-3.6949999999999998</v>
      </c>
      <c r="I12">
        <f t="shared" si="0"/>
        <v>-3.0964999999999998</v>
      </c>
      <c r="J12" s="3">
        <v>-1.861</v>
      </c>
      <c r="K12" s="3">
        <v>-3.3889999999999998</v>
      </c>
      <c r="L12" s="3">
        <f t="shared" si="5"/>
        <v>-2.625</v>
      </c>
      <c r="M12" s="3">
        <v>-1.0369999999999999</v>
      </c>
      <c r="N12" s="3">
        <v>-3.0089999999999999</v>
      </c>
      <c r="O12" s="3">
        <f t="shared" si="1"/>
        <v>-2.0229999999999997</v>
      </c>
      <c r="P12" s="3">
        <v>-0.18</v>
      </c>
      <c r="Q12" s="3">
        <v>-2.4350000000000001</v>
      </c>
      <c r="R12" s="3">
        <f t="shared" si="2"/>
        <v>-1.3075000000000001</v>
      </c>
      <c r="S12" s="3">
        <v>-2.9649999999999999</v>
      </c>
      <c r="T12" s="3">
        <v>-1.361</v>
      </c>
      <c r="U12" s="3">
        <f t="shared" si="3"/>
        <v>-2.1629999999999998</v>
      </c>
      <c r="V12" s="3">
        <v>-2.5139999999999998</v>
      </c>
      <c r="W12" s="3">
        <v>-0.85</v>
      </c>
      <c r="X12" s="3">
        <f t="shared" si="4"/>
        <v>-1.6819999999999999</v>
      </c>
      <c r="Y12">
        <v>57</v>
      </c>
      <c r="Z12">
        <v>21</v>
      </c>
      <c r="AA12">
        <v>16</v>
      </c>
      <c r="AB12">
        <v>20</v>
      </c>
      <c r="AC12" t="s">
        <v>42</v>
      </c>
      <c r="AD12">
        <v>4</v>
      </c>
      <c r="AE12">
        <v>8</v>
      </c>
      <c r="AF12">
        <v>3</v>
      </c>
      <c r="AG12">
        <v>7</v>
      </c>
      <c r="AH12">
        <v>5</v>
      </c>
      <c r="AI12">
        <v>11</v>
      </c>
      <c r="AJ12">
        <v>4</v>
      </c>
      <c r="AK12">
        <v>9</v>
      </c>
      <c r="AL12">
        <v>6</v>
      </c>
      <c r="AM12">
        <v>96</v>
      </c>
    </row>
    <row r="13" spans="1:39" x14ac:dyDescent="0.2">
      <c r="A13" t="s">
        <v>1</v>
      </c>
      <c r="B13" s="1">
        <v>37</v>
      </c>
      <c r="C13" s="3">
        <v>0.408834166666667</v>
      </c>
      <c r="D13">
        <v>55</v>
      </c>
      <c r="E13">
        <v>30</v>
      </c>
      <c r="F13" s="8">
        <v>3.25</v>
      </c>
      <c r="G13" s="3">
        <v>-0.32900000000000001</v>
      </c>
      <c r="H13" s="3">
        <v>-0.63600000000000001</v>
      </c>
      <c r="I13">
        <f t="shared" si="0"/>
        <v>-0.48250000000000004</v>
      </c>
      <c r="J13" s="3">
        <v>-0.91400000000000003</v>
      </c>
      <c r="K13" s="3">
        <v>-1.6559999999999999</v>
      </c>
      <c r="L13" s="3">
        <f t="shared" si="5"/>
        <v>-1.2849999999999999</v>
      </c>
      <c r="M13" s="3">
        <v>0.192</v>
      </c>
      <c r="N13" s="3">
        <v>-0.94299999999999995</v>
      </c>
      <c r="O13" s="3">
        <f t="shared" si="1"/>
        <v>-0.37549999999999994</v>
      </c>
      <c r="P13" s="3">
        <v>-0.4</v>
      </c>
      <c r="Q13" s="3">
        <v>-1.647</v>
      </c>
      <c r="R13" s="3">
        <f t="shared" si="2"/>
        <v>-1.0235000000000001</v>
      </c>
      <c r="S13" s="3">
        <v>-2.234</v>
      </c>
      <c r="T13" s="3">
        <v>-1.696</v>
      </c>
      <c r="U13" s="3">
        <f t="shared" si="3"/>
        <v>-1.9649999999999999</v>
      </c>
      <c r="V13" s="3">
        <v>-2.1720000000000002</v>
      </c>
      <c r="W13" s="3">
        <v>-1.4550000000000001</v>
      </c>
      <c r="X13" s="3">
        <f t="shared" si="4"/>
        <v>-1.8135000000000001</v>
      </c>
      <c r="Y13">
        <v>56</v>
      </c>
      <c r="Z13">
        <v>30</v>
      </c>
      <c r="AA13">
        <v>1</v>
      </c>
      <c r="AB13">
        <v>25</v>
      </c>
      <c r="AC13" t="s">
        <v>44</v>
      </c>
      <c r="AD13">
        <v>0</v>
      </c>
      <c r="AE13">
        <v>8</v>
      </c>
      <c r="AF13">
        <v>4</v>
      </c>
      <c r="AG13">
        <v>0</v>
      </c>
      <c r="AH13">
        <v>1</v>
      </c>
      <c r="AI13">
        <v>12</v>
      </c>
      <c r="AJ13">
        <v>10</v>
      </c>
      <c r="AK13">
        <v>13</v>
      </c>
      <c r="AL13">
        <v>8</v>
      </c>
      <c r="AM13">
        <v>93.3</v>
      </c>
    </row>
    <row r="14" spans="1:39" x14ac:dyDescent="0.2">
      <c r="A14" t="s">
        <v>1</v>
      </c>
      <c r="B14" s="1">
        <v>38</v>
      </c>
      <c r="C14" s="3">
        <v>0.46509851851851802</v>
      </c>
      <c r="D14">
        <v>56</v>
      </c>
      <c r="E14">
        <v>32</v>
      </c>
      <c r="F14" s="8">
        <v>3.8</v>
      </c>
      <c r="G14" s="3">
        <v>-0.51500000000000001</v>
      </c>
      <c r="H14" s="3">
        <v>-0.183</v>
      </c>
      <c r="I14">
        <f t="shared" si="0"/>
        <v>-0.34899999999999998</v>
      </c>
      <c r="J14" s="3">
        <v>-0.28100000000000003</v>
      </c>
      <c r="K14" s="3">
        <v>-0.38900000000000001</v>
      </c>
      <c r="L14" s="3">
        <f t="shared" si="5"/>
        <v>-0.33500000000000002</v>
      </c>
      <c r="M14" s="3">
        <v>-1.597</v>
      </c>
      <c r="N14" s="3">
        <v>-1.405</v>
      </c>
      <c r="O14" s="3">
        <f t="shared" si="1"/>
        <v>-1.5009999999999999</v>
      </c>
      <c r="P14" s="3">
        <v>-1.32</v>
      </c>
      <c r="Q14" s="3">
        <v>-1.6180000000000001</v>
      </c>
      <c r="R14" s="3">
        <f t="shared" si="2"/>
        <v>-1.4690000000000001</v>
      </c>
      <c r="S14" s="3">
        <v>-1.431</v>
      </c>
      <c r="T14" s="3">
        <v>-1.54</v>
      </c>
      <c r="U14" s="3">
        <f t="shared" si="3"/>
        <v>-1.4855</v>
      </c>
      <c r="V14" s="3">
        <v>-1.764</v>
      </c>
      <c r="W14" s="3">
        <v>-1.8939999999999999</v>
      </c>
      <c r="X14" s="3">
        <f t="shared" si="4"/>
        <v>-1.829</v>
      </c>
      <c r="Y14">
        <v>59</v>
      </c>
      <c r="Z14">
        <v>22</v>
      </c>
      <c r="AA14">
        <v>17</v>
      </c>
      <c r="AB14">
        <v>20</v>
      </c>
      <c r="AC14" t="s">
        <v>42</v>
      </c>
      <c r="AD14">
        <v>8</v>
      </c>
      <c r="AE14">
        <v>7</v>
      </c>
      <c r="AF14">
        <v>6</v>
      </c>
      <c r="AG14">
        <v>3</v>
      </c>
      <c r="AH14">
        <v>6</v>
      </c>
      <c r="AI14">
        <v>9</v>
      </c>
      <c r="AJ14">
        <v>4</v>
      </c>
      <c r="AK14">
        <v>11</v>
      </c>
      <c r="AL14">
        <v>5</v>
      </c>
      <c r="AM14">
        <v>99</v>
      </c>
    </row>
    <row r="15" spans="1:39" x14ac:dyDescent="0.2">
      <c r="A15" t="s">
        <v>1</v>
      </c>
      <c r="B15" s="1">
        <v>40</v>
      </c>
      <c r="C15" s="3">
        <v>0.421740454545454</v>
      </c>
      <c r="D15">
        <v>47</v>
      </c>
      <c r="E15">
        <v>22</v>
      </c>
      <c r="F15" s="8">
        <v>3.75</v>
      </c>
      <c r="G15" s="3">
        <v>-2.746</v>
      </c>
      <c r="H15" s="3">
        <v>-2.798</v>
      </c>
      <c r="I15">
        <f t="shared" si="0"/>
        <v>-2.7720000000000002</v>
      </c>
      <c r="J15" s="3">
        <v>-1.8169999999999999</v>
      </c>
      <c r="K15" s="3">
        <v>-2.2480000000000002</v>
      </c>
      <c r="L15" s="3">
        <f t="shared" si="5"/>
        <v>-2.0325000000000002</v>
      </c>
      <c r="M15" s="3">
        <v>-2.2690000000000001</v>
      </c>
      <c r="N15" s="3">
        <v>-1.7549999999999999</v>
      </c>
      <c r="O15" s="3">
        <f t="shared" si="1"/>
        <v>-2.012</v>
      </c>
      <c r="P15" s="3">
        <v>-1.802</v>
      </c>
      <c r="Q15" s="3">
        <v>-2.173</v>
      </c>
      <c r="R15" s="3">
        <f t="shared" si="2"/>
        <v>-1.9875</v>
      </c>
      <c r="S15" s="3">
        <v>-0.755</v>
      </c>
      <c r="T15" s="3">
        <v>0.77100000000000002</v>
      </c>
      <c r="U15" s="3">
        <f t="shared" si="3"/>
        <v>8.0000000000000071E-3</v>
      </c>
      <c r="V15" s="3">
        <v>-1.6140000000000001</v>
      </c>
      <c r="W15" s="3">
        <v>-0.79900000000000004</v>
      </c>
      <c r="X15" s="3">
        <f t="shared" si="4"/>
        <v>-1.2065000000000001</v>
      </c>
      <c r="Y15">
        <v>51</v>
      </c>
      <c r="Z15">
        <v>24</v>
      </c>
      <c r="AA15">
        <v>13</v>
      </c>
      <c r="AB15">
        <v>14</v>
      </c>
      <c r="AC15" t="s">
        <v>42</v>
      </c>
      <c r="AD15">
        <v>10</v>
      </c>
      <c r="AE15">
        <v>7</v>
      </c>
      <c r="AF15">
        <v>3</v>
      </c>
      <c r="AG15">
        <v>2</v>
      </c>
      <c r="AH15">
        <v>1</v>
      </c>
      <c r="AI15">
        <v>6</v>
      </c>
      <c r="AJ15">
        <v>11</v>
      </c>
      <c r="AK15">
        <v>8</v>
      </c>
      <c r="AL15">
        <v>3</v>
      </c>
      <c r="AM15">
        <v>95.5</v>
      </c>
    </row>
    <row r="16" spans="1:39" x14ac:dyDescent="0.2">
      <c r="A16" t="s">
        <v>1</v>
      </c>
      <c r="B16" s="1">
        <v>41</v>
      </c>
      <c r="C16" s="3">
        <v>0.409300416666667</v>
      </c>
      <c r="D16">
        <v>59</v>
      </c>
      <c r="E16">
        <v>54</v>
      </c>
      <c r="F16" s="8">
        <v>4</v>
      </c>
      <c r="G16" s="3">
        <v>-1.3109999999999999</v>
      </c>
      <c r="H16" s="3">
        <v>-0.42099999999999999</v>
      </c>
      <c r="I16">
        <f t="shared" si="0"/>
        <v>-0.86599999999999999</v>
      </c>
      <c r="J16" s="3">
        <v>-0.55300000000000005</v>
      </c>
      <c r="K16" s="3">
        <v>-0.25700000000000001</v>
      </c>
      <c r="L16" s="3">
        <f t="shared" si="5"/>
        <v>-0.40500000000000003</v>
      </c>
      <c r="M16" s="3">
        <v>-0.752</v>
      </c>
      <c r="N16" s="3">
        <v>0.18</v>
      </c>
      <c r="O16" s="3">
        <f t="shared" si="1"/>
        <v>-0.28600000000000003</v>
      </c>
      <c r="P16" s="3">
        <v>0.41399999999999998</v>
      </c>
      <c r="Q16" s="3">
        <v>0.69499999999999995</v>
      </c>
      <c r="R16" s="3">
        <f t="shared" si="2"/>
        <v>0.55449999999999999</v>
      </c>
      <c r="S16" s="3">
        <v>-1.613</v>
      </c>
      <c r="T16" s="3">
        <v>-1.4019999999999999</v>
      </c>
      <c r="U16" s="3">
        <f t="shared" si="3"/>
        <v>-1.5074999999999998</v>
      </c>
      <c r="V16" s="3">
        <v>-0.70899999999999996</v>
      </c>
      <c r="W16" s="3">
        <v>-0.86899999999999999</v>
      </c>
      <c r="X16" s="3">
        <f t="shared" si="4"/>
        <v>-0.78899999999999992</v>
      </c>
      <c r="Y16">
        <v>63</v>
      </c>
      <c r="Z16">
        <v>26</v>
      </c>
      <c r="AA16">
        <v>14</v>
      </c>
      <c r="AB16">
        <v>23</v>
      </c>
      <c r="AC16" t="s">
        <v>44</v>
      </c>
      <c r="AD16">
        <v>4</v>
      </c>
      <c r="AE16">
        <v>7</v>
      </c>
      <c r="AF16">
        <v>1</v>
      </c>
      <c r="AG16">
        <v>5</v>
      </c>
      <c r="AH16">
        <v>5</v>
      </c>
      <c r="AI16">
        <v>12</v>
      </c>
      <c r="AJ16">
        <v>10</v>
      </c>
      <c r="AK16">
        <v>11</v>
      </c>
      <c r="AL16">
        <v>8</v>
      </c>
      <c r="AM16">
        <v>95.8</v>
      </c>
    </row>
    <row r="17" spans="1:39" x14ac:dyDescent="0.2">
      <c r="A17" t="s">
        <v>1</v>
      </c>
      <c r="B17" s="1">
        <v>44</v>
      </c>
      <c r="C17" s="3">
        <v>0.39576629629629601</v>
      </c>
      <c r="D17">
        <v>60</v>
      </c>
      <c r="E17">
        <v>27</v>
      </c>
      <c r="F17" s="8">
        <v>3.6</v>
      </c>
      <c r="G17" s="3">
        <v>-0.78700000000000003</v>
      </c>
      <c r="H17" s="3">
        <v>-0.755</v>
      </c>
      <c r="I17">
        <f t="shared" si="0"/>
        <v>-0.77100000000000002</v>
      </c>
      <c r="J17" s="3">
        <v>-0.57199999999999995</v>
      </c>
      <c r="K17" s="3">
        <v>-0.70299999999999996</v>
      </c>
      <c r="L17" s="3">
        <f t="shared" si="5"/>
        <v>-0.63749999999999996</v>
      </c>
      <c r="M17" s="3">
        <v>-3.0710000000000002</v>
      </c>
      <c r="N17" s="3">
        <v>-1.633</v>
      </c>
      <c r="O17" s="3">
        <f t="shared" si="1"/>
        <v>-2.3520000000000003</v>
      </c>
      <c r="P17" s="3">
        <v>-1.2110000000000001</v>
      </c>
      <c r="Q17" s="3">
        <v>-0.63700000000000001</v>
      </c>
      <c r="R17" s="3">
        <f t="shared" si="2"/>
        <v>-0.92400000000000004</v>
      </c>
      <c r="S17" s="3">
        <v>-3.516</v>
      </c>
      <c r="T17" s="3">
        <v>-2.8050000000000002</v>
      </c>
      <c r="U17" s="3">
        <f t="shared" si="3"/>
        <v>-3.1604999999999999</v>
      </c>
      <c r="V17" s="3">
        <v>-1.528</v>
      </c>
      <c r="W17" s="3">
        <v>-1.6870000000000001</v>
      </c>
      <c r="X17" s="3">
        <f t="shared" si="4"/>
        <v>-1.6074999999999999</v>
      </c>
      <c r="Y17">
        <v>68</v>
      </c>
      <c r="Z17">
        <v>24</v>
      </c>
      <c r="AA17">
        <v>24</v>
      </c>
      <c r="AB17">
        <v>20</v>
      </c>
      <c r="AC17" t="s">
        <v>42</v>
      </c>
      <c r="AD17">
        <v>11</v>
      </c>
      <c r="AE17">
        <v>6</v>
      </c>
      <c r="AF17">
        <v>5</v>
      </c>
      <c r="AG17">
        <v>6</v>
      </c>
      <c r="AH17">
        <v>7</v>
      </c>
      <c r="AI17">
        <v>8</v>
      </c>
      <c r="AJ17">
        <v>7</v>
      </c>
      <c r="AK17">
        <v>12</v>
      </c>
      <c r="AL17">
        <v>6</v>
      </c>
      <c r="AM17">
        <v>89.2</v>
      </c>
    </row>
    <row r="18" spans="1:39" x14ac:dyDescent="0.2">
      <c r="A18" t="s">
        <v>1</v>
      </c>
      <c r="B18" s="1">
        <v>45</v>
      </c>
      <c r="C18" s="3">
        <v>0.38718760000000002</v>
      </c>
      <c r="D18">
        <v>55</v>
      </c>
      <c r="E18">
        <v>15</v>
      </c>
      <c r="F18" s="8">
        <v>3.75</v>
      </c>
      <c r="G18" s="3">
        <v>-1.9219999999999999</v>
      </c>
      <c r="H18" s="3">
        <v>-1.5840000000000001</v>
      </c>
      <c r="I18">
        <f t="shared" si="0"/>
        <v>-1.7530000000000001</v>
      </c>
      <c r="J18" s="3">
        <v>-0.17499999999999999</v>
      </c>
      <c r="K18" s="3">
        <v>-0.38500000000000001</v>
      </c>
      <c r="L18" s="3">
        <f t="shared" si="5"/>
        <v>-0.28000000000000003</v>
      </c>
      <c r="M18" s="3">
        <v>-6.6630000000000003</v>
      </c>
      <c r="N18" s="3">
        <v>-4.47</v>
      </c>
      <c r="O18" s="3">
        <f t="shared" si="1"/>
        <v>-5.5664999999999996</v>
      </c>
      <c r="P18" s="3">
        <v>-1.7290000000000001</v>
      </c>
      <c r="Q18" s="3">
        <v>-1.5289999999999999</v>
      </c>
      <c r="R18" s="3">
        <f t="shared" si="2"/>
        <v>-1.629</v>
      </c>
      <c r="S18" s="3">
        <v>-5.9489999999999998</v>
      </c>
      <c r="T18" s="3">
        <v>-2.6080000000000001</v>
      </c>
      <c r="U18" s="3">
        <f t="shared" si="3"/>
        <v>-4.2785000000000002</v>
      </c>
      <c r="V18" s="3">
        <v>-1.9550000000000001</v>
      </c>
      <c r="W18" s="3">
        <v>-0.70199999999999996</v>
      </c>
      <c r="X18" s="3">
        <f t="shared" si="4"/>
        <v>-1.3285</v>
      </c>
      <c r="Y18">
        <v>53</v>
      </c>
      <c r="Z18">
        <v>24</v>
      </c>
      <c r="AA18">
        <v>10</v>
      </c>
      <c r="AB18">
        <v>19</v>
      </c>
      <c r="AC18" t="s">
        <v>42</v>
      </c>
      <c r="AD18">
        <v>6</v>
      </c>
      <c r="AE18">
        <v>7</v>
      </c>
      <c r="AF18">
        <v>4</v>
      </c>
      <c r="AG18">
        <v>0</v>
      </c>
      <c r="AH18">
        <v>4</v>
      </c>
      <c r="AI18">
        <v>7</v>
      </c>
      <c r="AJ18">
        <v>6</v>
      </c>
      <c r="AK18">
        <v>12</v>
      </c>
      <c r="AL18">
        <v>7</v>
      </c>
      <c r="AM18">
        <v>97.8</v>
      </c>
    </row>
    <row r="19" spans="1:39" x14ac:dyDescent="0.2">
      <c r="A19" t="s">
        <v>1</v>
      </c>
      <c r="B19" s="1">
        <v>46</v>
      </c>
      <c r="C19" s="3">
        <v>0.37419708333333301</v>
      </c>
      <c r="D19">
        <v>39</v>
      </c>
      <c r="E19">
        <v>17</v>
      </c>
      <c r="F19" s="8">
        <v>3.7</v>
      </c>
      <c r="G19" s="3">
        <v>3.2170000000000001</v>
      </c>
      <c r="H19" s="3">
        <v>1.8</v>
      </c>
      <c r="I19">
        <f t="shared" si="0"/>
        <v>2.5085000000000002</v>
      </c>
      <c r="J19" s="3">
        <v>2.609</v>
      </c>
      <c r="K19" s="3">
        <v>0.81799999999999995</v>
      </c>
      <c r="L19" s="3">
        <f t="shared" si="5"/>
        <v>1.7135</v>
      </c>
      <c r="M19" s="3">
        <v>4.8639999999999999</v>
      </c>
      <c r="N19" s="3">
        <v>6.335</v>
      </c>
      <c r="O19" s="3">
        <f t="shared" si="1"/>
        <v>5.5994999999999999</v>
      </c>
      <c r="P19" s="3">
        <v>4.431</v>
      </c>
      <c r="Q19" s="3">
        <v>4.2030000000000003</v>
      </c>
      <c r="R19" s="3">
        <f t="shared" si="2"/>
        <v>4.3170000000000002</v>
      </c>
      <c r="S19" s="3">
        <v>0.01</v>
      </c>
      <c r="T19" s="3">
        <v>0.57699999999999996</v>
      </c>
      <c r="U19" s="3">
        <f t="shared" si="3"/>
        <v>0.29349999999999998</v>
      </c>
      <c r="V19" s="3">
        <v>-0.114</v>
      </c>
      <c r="W19" s="3">
        <v>-0.77100000000000002</v>
      </c>
      <c r="X19" s="3">
        <f t="shared" si="4"/>
        <v>-0.4425</v>
      </c>
      <c r="Y19">
        <v>70</v>
      </c>
      <c r="Z19">
        <v>28</v>
      </c>
      <c r="AA19">
        <v>20</v>
      </c>
      <c r="AB19">
        <v>22</v>
      </c>
      <c r="AC19" t="s">
        <v>43</v>
      </c>
      <c r="AD19">
        <v>10</v>
      </c>
      <c r="AE19">
        <v>8</v>
      </c>
      <c r="AF19">
        <v>7</v>
      </c>
      <c r="AG19">
        <v>4</v>
      </c>
      <c r="AH19">
        <v>6</v>
      </c>
      <c r="AI19">
        <v>8</v>
      </c>
      <c r="AJ19">
        <v>6</v>
      </c>
      <c r="AK19">
        <v>14</v>
      </c>
      <c r="AL19">
        <v>7</v>
      </c>
      <c r="AM19">
        <v>93.6</v>
      </c>
    </row>
    <row r="20" spans="1:39" x14ac:dyDescent="0.2">
      <c r="A20" t="s">
        <v>1</v>
      </c>
      <c r="B20" s="1">
        <v>60</v>
      </c>
      <c r="C20" s="3">
        <v>0.34931576923076901</v>
      </c>
      <c r="D20">
        <v>37</v>
      </c>
      <c r="E20">
        <v>14</v>
      </c>
      <c r="F20" s="8">
        <v>3.75</v>
      </c>
      <c r="G20" s="3">
        <v>-2.1120000000000001</v>
      </c>
      <c r="H20" s="3">
        <v>-2.4060000000000001</v>
      </c>
      <c r="I20">
        <f t="shared" si="0"/>
        <v>-2.2590000000000003</v>
      </c>
      <c r="J20" s="3">
        <v>-1.1200000000000001</v>
      </c>
      <c r="K20" s="3">
        <v>-1.6140000000000001</v>
      </c>
      <c r="L20" s="3">
        <f t="shared" si="5"/>
        <v>-1.367</v>
      </c>
      <c r="M20" s="3">
        <v>-2.4119999999999999</v>
      </c>
      <c r="N20" s="3">
        <v>-2.4239999999999999</v>
      </c>
      <c r="O20" s="3">
        <f t="shared" si="1"/>
        <v>-2.4180000000000001</v>
      </c>
      <c r="P20" s="3">
        <v>-1.0549999999999999</v>
      </c>
      <c r="Q20" s="3">
        <v>-1.6060000000000001</v>
      </c>
      <c r="R20" s="3">
        <f t="shared" si="2"/>
        <v>-1.3305</v>
      </c>
      <c r="S20" s="3">
        <v>-4.3550000000000004</v>
      </c>
      <c r="T20" s="3">
        <v>-3.637</v>
      </c>
      <c r="U20" s="3">
        <f t="shared" si="3"/>
        <v>-3.9960000000000004</v>
      </c>
      <c r="V20" s="3">
        <v>-3.952</v>
      </c>
      <c r="W20" s="3">
        <v>-3.36</v>
      </c>
      <c r="X20" s="3">
        <f t="shared" si="4"/>
        <v>-3.6559999999999997</v>
      </c>
      <c r="Y20">
        <v>57</v>
      </c>
      <c r="Z20">
        <v>21</v>
      </c>
      <c r="AA20">
        <v>20</v>
      </c>
      <c r="AB20">
        <v>16</v>
      </c>
      <c r="AC20" t="s">
        <v>42</v>
      </c>
      <c r="AD20">
        <v>8</v>
      </c>
      <c r="AE20">
        <v>6</v>
      </c>
      <c r="AF20">
        <v>5</v>
      </c>
      <c r="AG20">
        <v>6</v>
      </c>
      <c r="AH20">
        <v>6</v>
      </c>
      <c r="AI20">
        <v>4</v>
      </c>
      <c r="AJ20">
        <v>4</v>
      </c>
      <c r="AK20">
        <v>12</v>
      </c>
      <c r="AL20">
        <v>6</v>
      </c>
      <c r="AM20">
        <v>94.7</v>
      </c>
    </row>
    <row r="21" spans="1:39" x14ac:dyDescent="0.2">
      <c r="A21" t="s">
        <v>1</v>
      </c>
      <c r="B21" s="1">
        <v>61</v>
      </c>
      <c r="C21" s="3">
        <v>0.46724310344827602</v>
      </c>
      <c r="D21">
        <v>52</v>
      </c>
      <c r="E21">
        <v>19</v>
      </c>
      <c r="F21" s="8">
        <v>3.5</v>
      </c>
      <c r="G21" s="3">
        <v>-4.0999999999999996</v>
      </c>
      <c r="H21" s="3">
        <v>-3.286</v>
      </c>
      <c r="I21">
        <f t="shared" si="0"/>
        <v>-3.6929999999999996</v>
      </c>
      <c r="J21" s="3">
        <v>-1.8089999999999999</v>
      </c>
      <c r="K21" s="3">
        <v>-1.98</v>
      </c>
      <c r="L21" s="3">
        <f t="shared" si="5"/>
        <v>-1.8944999999999999</v>
      </c>
      <c r="M21" s="3">
        <v>-3.319</v>
      </c>
      <c r="N21" s="3">
        <v>-2.6179999999999999</v>
      </c>
      <c r="O21" s="3">
        <f t="shared" si="1"/>
        <v>-2.9684999999999997</v>
      </c>
      <c r="P21" s="3">
        <v>-1.3069999999999999</v>
      </c>
      <c r="Q21" s="3">
        <v>-1.5449999999999999</v>
      </c>
      <c r="R21" s="3">
        <f t="shared" si="2"/>
        <v>-1.4259999999999999</v>
      </c>
      <c r="S21" s="3">
        <v>0.04</v>
      </c>
      <c r="T21" s="3">
        <v>0.13900000000000001</v>
      </c>
      <c r="U21" s="3">
        <f t="shared" si="3"/>
        <v>8.950000000000001E-2</v>
      </c>
      <c r="V21" s="3">
        <v>-0.28000000000000003</v>
      </c>
      <c r="W21" s="3">
        <v>-0.20799999999999999</v>
      </c>
      <c r="X21" s="3">
        <f>AVERAGE(V21,W21)</f>
        <v>-0.24399999999999999</v>
      </c>
      <c r="Y21">
        <v>56</v>
      </c>
      <c r="Z21">
        <v>20</v>
      </c>
      <c r="AA21">
        <v>16</v>
      </c>
      <c r="AB21">
        <v>20</v>
      </c>
      <c r="AC21" t="s">
        <v>42</v>
      </c>
      <c r="AD21">
        <v>8</v>
      </c>
      <c r="AE21">
        <v>9</v>
      </c>
      <c r="AF21">
        <v>8</v>
      </c>
      <c r="AG21">
        <v>3</v>
      </c>
      <c r="AH21">
        <v>5</v>
      </c>
      <c r="AI21">
        <v>5</v>
      </c>
      <c r="AJ21">
        <v>0</v>
      </c>
      <c r="AK21">
        <v>15</v>
      </c>
      <c r="AL21">
        <v>3</v>
      </c>
      <c r="AM21">
        <v>88.3</v>
      </c>
    </row>
    <row r="22" spans="1:39" x14ac:dyDescent="0.2">
      <c r="A22" t="s">
        <v>1</v>
      </c>
      <c r="B22" s="1">
        <v>63</v>
      </c>
      <c r="C22" s="3">
        <v>0.44197799999999998</v>
      </c>
      <c r="D22">
        <v>52</v>
      </c>
      <c r="E22">
        <v>20</v>
      </c>
      <c r="F22" s="8">
        <v>3.5</v>
      </c>
      <c r="G22" s="3">
        <v>-1.3540000000000001</v>
      </c>
      <c r="H22" s="3">
        <v>-0.70299999999999996</v>
      </c>
      <c r="I22">
        <f t="shared" si="0"/>
        <v>-1.0285</v>
      </c>
      <c r="J22" s="3">
        <v>0.27900000000000003</v>
      </c>
      <c r="K22" s="3">
        <v>0.17100000000000001</v>
      </c>
      <c r="L22" s="3">
        <f t="shared" si="5"/>
        <v>0.22500000000000003</v>
      </c>
      <c r="M22" s="3">
        <v>-2.0510000000000002</v>
      </c>
      <c r="N22" s="3">
        <v>-2.875</v>
      </c>
      <c r="O22" s="3">
        <f t="shared" si="1"/>
        <v>-2.4630000000000001</v>
      </c>
      <c r="P22" s="3">
        <v>-0.26100000000000001</v>
      </c>
      <c r="Q22" s="3">
        <v>-1.7130000000000001</v>
      </c>
      <c r="R22" s="3">
        <f t="shared" si="2"/>
        <v>-0.9870000000000001</v>
      </c>
      <c r="S22" s="3">
        <v>-0.59299999999999997</v>
      </c>
      <c r="T22" s="3">
        <v>-0.86699999999999999</v>
      </c>
      <c r="U22" s="3">
        <f t="shared" si="3"/>
        <v>-0.73</v>
      </c>
      <c r="V22" s="3">
        <v>-0.371</v>
      </c>
      <c r="W22" s="3">
        <v>-0.56799999999999995</v>
      </c>
      <c r="X22" s="3">
        <f t="shared" si="4"/>
        <v>-0.46949999999999997</v>
      </c>
      <c r="Y22">
        <v>66</v>
      </c>
      <c r="Z22">
        <v>27</v>
      </c>
      <c r="AA22">
        <v>16</v>
      </c>
      <c r="AB22">
        <v>23</v>
      </c>
      <c r="AC22" t="s">
        <v>44</v>
      </c>
      <c r="AD22">
        <v>10</v>
      </c>
      <c r="AE22">
        <v>8</v>
      </c>
      <c r="AF22">
        <v>7</v>
      </c>
      <c r="AG22">
        <v>4</v>
      </c>
      <c r="AH22">
        <v>2</v>
      </c>
      <c r="AI22">
        <v>11</v>
      </c>
      <c r="AJ22">
        <v>5</v>
      </c>
      <c r="AK22">
        <v>12</v>
      </c>
      <c r="AL22">
        <v>7</v>
      </c>
      <c r="AM22">
        <v>87.2</v>
      </c>
    </row>
    <row r="23" spans="1:39" x14ac:dyDescent="0.2">
      <c r="A23" t="s">
        <v>1</v>
      </c>
      <c r="B23" s="1">
        <v>65</v>
      </c>
      <c r="C23" s="3">
        <v>0.39435541666666701</v>
      </c>
      <c r="D23">
        <v>53</v>
      </c>
      <c r="E23">
        <v>29</v>
      </c>
      <c r="F23" s="8">
        <v>3.2</v>
      </c>
      <c r="G23" s="3">
        <v>-0.151</v>
      </c>
      <c r="H23" s="3">
        <v>0.879</v>
      </c>
      <c r="I23">
        <f t="shared" si="0"/>
        <v>0.36399999999999999</v>
      </c>
      <c r="J23" s="3">
        <v>0.35699999999999998</v>
      </c>
      <c r="K23" s="3">
        <v>0.82199999999999995</v>
      </c>
      <c r="L23" s="3">
        <f t="shared" si="5"/>
        <v>0.58949999999999991</v>
      </c>
      <c r="M23" s="3">
        <v>-3.7080000000000002</v>
      </c>
      <c r="N23" s="3">
        <v>-1.599</v>
      </c>
      <c r="O23" s="3">
        <f t="shared" si="1"/>
        <v>-2.6535000000000002</v>
      </c>
      <c r="P23" s="3">
        <v>-0.111</v>
      </c>
      <c r="Q23" s="3">
        <v>0.85499999999999998</v>
      </c>
      <c r="R23" s="3">
        <f t="shared" si="2"/>
        <v>0.372</v>
      </c>
      <c r="S23" s="3">
        <v>-7.3680000000000003</v>
      </c>
      <c r="T23" s="3">
        <v>-5.718</v>
      </c>
      <c r="U23" s="3">
        <f>AVERAGE(S23,T23)</f>
        <v>-6.5430000000000001</v>
      </c>
      <c r="V23" s="3">
        <v>-3.056</v>
      </c>
      <c r="W23" s="3">
        <v>-2.073</v>
      </c>
      <c r="X23" s="3">
        <f t="shared" si="4"/>
        <v>-2.5644999999999998</v>
      </c>
      <c r="Y23">
        <v>63</v>
      </c>
      <c r="Z23">
        <v>20</v>
      </c>
      <c r="AA23">
        <v>24</v>
      </c>
      <c r="AB23">
        <v>19</v>
      </c>
      <c r="AC23" t="s">
        <v>42</v>
      </c>
      <c r="AD23">
        <v>11</v>
      </c>
      <c r="AE23">
        <v>7</v>
      </c>
      <c r="AF23">
        <v>3</v>
      </c>
      <c r="AG23">
        <v>4</v>
      </c>
      <c r="AH23">
        <v>9</v>
      </c>
      <c r="AI23">
        <v>10</v>
      </c>
      <c r="AJ23">
        <v>2</v>
      </c>
      <c r="AK23">
        <v>9</v>
      </c>
      <c r="AL23">
        <v>8</v>
      </c>
      <c r="AM23">
        <v>84.8</v>
      </c>
    </row>
    <row r="24" spans="1:39" x14ac:dyDescent="0.2">
      <c r="A24" t="s">
        <v>1</v>
      </c>
      <c r="B24" s="1">
        <v>72</v>
      </c>
      <c r="C24" s="3">
        <v>0.33851458333333301</v>
      </c>
      <c r="D24">
        <v>50</v>
      </c>
      <c r="E24">
        <v>34</v>
      </c>
      <c r="F24" s="8">
        <v>4</v>
      </c>
      <c r="G24" s="3">
        <v>-2.3769999999999998</v>
      </c>
      <c r="H24" s="3">
        <v>-2.2480000000000002</v>
      </c>
      <c r="I24">
        <f t="shared" si="0"/>
        <v>-2.3125</v>
      </c>
      <c r="J24" s="3">
        <v>-1.294</v>
      </c>
      <c r="K24" s="3">
        <v>-1.3340000000000001</v>
      </c>
      <c r="L24" s="3">
        <f t="shared" si="5"/>
        <v>-1.3140000000000001</v>
      </c>
      <c r="M24" s="3">
        <v>-2.4129999999999998</v>
      </c>
      <c r="N24" s="3">
        <v>-3.7709999999999999</v>
      </c>
      <c r="O24" s="3">
        <f t="shared" si="1"/>
        <v>-3.0919999999999996</v>
      </c>
      <c r="P24" s="3">
        <v>0.38100000000000001</v>
      </c>
      <c r="Q24" s="3">
        <v>-1.34</v>
      </c>
      <c r="R24" s="3">
        <f t="shared" si="2"/>
        <v>-0.47950000000000004</v>
      </c>
      <c r="S24" s="3">
        <v>-3.839</v>
      </c>
      <c r="T24" s="3">
        <v>-3.0019999999999998</v>
      </c>
      <c r="U24" s="3">
        <f t="shared" si="3"/>
        <v>-3.4204999999999997</v>
      </c>
      <c r="V24" s="3">
        <v>-0.67400000000000004</v>
      </c>
      <c r="W24" s="3">
        <v>-0.63100000000000001</v>
      </c>
      <c r="X24" s="3">
        <f t="shared" si="4"/>
        <v>-0.65250000000000008</v>
      </c>
      <c r="Y24">
        <v>70</v>
      </c>
      <c r="Z24">
        <v>28</v>
      </c>
      <c r="AA24">
        <v>24</v>
      </c>
      <c r="AB24">
        <v>18</v>
      </c>
      <c r="AC24" t="s">
        <v>42</v>
      </c>
      <c r="AD24">
        <v>12</v>
      </c>
      <c r="AE24">
        <v>6</v>
      </c>
      <c r="AF24">
        <v>6</v>
      </c>
      <c r="AG24">
        <v>8</v>
      </c>
      <c r="AH24">
        <v>4</v>
      </c>
      <c r="AI24">
        <v>5</v>
      </c>
      <c r="AJ24">
        <v>6</v>
      </c>
      <c r="AK24">
        <v>13</v>
      </c>
      <c r="AL24">
        <v>10</v>
      </c>
      <c r="AM24">
        <v>96.3</v>
      </c>
    </row>
    <row r="25" spans="1:39" x14ac:dyDescent="0.2">
      <c r="A25" t="s">
        <v>1</v>
      </c>
      <c r="B25" s="1">
        <v>75</v>
      </c>
      <c r="C25" s="3">
        <v>0.30578</v>
      </c>
      <c r="D25">
        <v>53</v>
      </c>
      <c r="E25">
        <v>14</v>
      </c>
      <c r="F25" s="8">
        <v>3.76</v>
      </c>
      <c r="G25" s="3">
        <v>-1.17</v>
      </c>
      <c r="H25" s="3">
        <v>-2.0499999999999998</v>
      </c>
      <c r="I25">
        <f t="shared" si="0"/>
        <v>-1.6099999999999999</v>
      </c>
      <c r="J25" s="3">
        <v>-0.68300000000000005</v>
      </c>
      <c r="K25" s="3">
        <v>-1.77</v>
      </c>
      <c r="L25" s="3">
        <f t="shared" si="5"/>
        <v>-1.2265000000000001</v>
      </c>
      <c r="M25" s="3">
        <v>-3.3719999999999999</v>
      </c>
      <c r="N25" s="3">
        <v>-5.0590000000000002</v>
      </c>
      <c r="O25" s="3">
        <f t="shared" si="1"/>
        <v>-4.2155000000000005</v>
      </c>
      <c r="P25" s="3">
        <v>-0.91100000000000003</v>
      </c>
      <c r="Q25" s="3">
        <v>-2.7730000000000001</v>
      </c>
      <c r="R25" s="3">
        <f t="shared" si="2"/>
        <v>-1.8420000000000001</v>
      </c>
      <c r="S25" s="3">
        <v>-4.6500000000000004</v>
      </c>
      <c r="T25" s="3">
        <v>-5.6449999999999996</v>
      </c>
      <c r="U25" s="3">
        <f t="shared" si="3"/>
        <v>-5.1475</v>
      </c>
      <c r="V25" s="3">
        <v>-2.0249999999999999</v>
      </c>
      <c r="W25" s="3">
        <v>-3.202</v>
      </c>
      <c r="X25" s="3">
        <f t="shared" si="4"/>
        <v>-2.6135000000000002</v>
      </c>
      <c r="Y25">
        <v>54</v>
      </c>
      <c r="Z25">
        <v>24</v>
      </c>
      <c r="AA25">
        <v>17</v>
      </c>
      <c r="AB25">
        <v>13</v>
      </c>
      <c r="AC25" t="s">
        <v>42</v>
      </c>
      <c r="AD25">
        <v>8</v>
      </c>
      <c r="AE25">
        <v>6</v>
      </c>
      <c r="AF25">
        <v>3</v>
      </c>
      <c r="AG25">
        <v>3</v>
      </c>
      <c r="AH25">
        <v>6</v>
      </c>
      <c r="AI25">
        <v>3</v>
      </c>
      <c r="AJ25">
        <v>8</v>
      </c>
      <c r="AK25">
        <v>10</v>
      </c>
      <c r="AL25">
        <v>7</v>
      </c>
      <c r="AM25">
        <v>89</v>
      </c>
    </row>
    <row r="26" spans="1:39" x14ac:dyDescent="0.2">
      <c r="A26" t="s">
        <v>1</v>
      </c>
      <c r="B26" s="1">
        <v>77</v>
      </c>
      <c r="C26" s="3">
        <v>0.49178458333333303</v>
      </c>
      <c r="D26">
        <v>50</v>
      </c>
      <c r="E26">
        <v>16</v>
      </c>
      <c r="F26" s="8">
        <v>3.6</v>
      </c>
      <c r="G26" s="3">
        <v>-6.274</v>
      </c>
      <c r="H26" s="3">
        <v>-6.2060000000000004</v>
      </c>
      <c r="I26">
        <f t="shared" si="0"/>
        <v>-6.24</v>
      </c>
      <c r="J26" s="3">
        <v>-3.9929999999999999</v>
      </c>
      <c r="K26" s="3">
        <v>-4.5049999999999999</v>
      </c>
      <c r="L26" s="3">
        <f t="shared" si="5"/>
        <v>-4.2489999999999997</v>
      </c>
      <c r="M26" s="3">
        <v>-9.5670000000000002</v>
      </c>
      <c r="N26" s="3">
        <v>-8.4410000000000007</v>
      </c>
      <c r="O26" s="3">
        <f t="shared" si="1"/>
        <v>-9.0040000000000013</v>
      </c>
      <c r="P26" s="3">
        <v>-6.3650000000000002</v>
      </c>
      <c r="Q26" s="3">
        <v>-6.4770000000000003</v>
      </c>
      <c r="R26" s="3">
        <f t="shared" si="2"/>
        <v>-6.4210000000000003</v>
      </c>
      <c r="S26" s="3">
        <v>-2.8010000000000002</v>
      </c>
      <c r="T26" s="3">
        <v>-1.405</v>
      </c>
      <c r="U26" s="3">
        <f t="shared" si="3"/>
        <v>-2.1030000000000002</v>
      </c>
      <c r="V26" s="3">
        <v>-1.86</v>
      </c>
      <c r="W26" s="3">
        <v>-1.284</v>
      </c>
      <c r="X26" s="3">
        <f t="shared" si="4"/>
        <v>-1.5720000000000001</v>
      </c>
      <c r="Y26">
        <v>53</v>
      </c>
      <c r="Z26">
        <v>11</v>
      </c>
      <c r="AA26">
        <v>28</v>
      </c>
      <c r="AB26">
        <v>14</v>
      </c>
      <c r="AC26" t="s">
        <v>42</v>
      </c>
      <c r="AD26">
        <v>10</v>
      </c>
      <c r="AE26">
        <v>2</v>
      </c>
      <c r="AF26">
        <v>7</v>
      </c>
      <c r="AG26">
        <v>10</v>
      </c>
      <c r="AH26">
        <v>8</v>
      </c>
      <c r="AI26">
        <v>8</v>
      </c>
      <c r="AJ26">
        <v>2</v>
      </c>
      <c r="AK26">
        <v>6</v>
      </c>
      <c r="AL26">
        <v>0</v>
      </c>
      <c r="AM26">
        <v>99.4</v>
      </c>
    </row>
    <row r="27" spans="1:39" x14ac:dyDescent="0.2">
      <c r="A27" t="s">
        <v>1</v>
      </c>
      <c r="B27" s="1">
        <v>78</v>
      </c>
      <c r="C27" s="3">
        <v>0.39406039999999998</v>
      </c>
      <c r="D27">
        <v>46</v>
      </c>
      <c r="E27">
        <v>20</v>
      </c>
      <c r="F27" s="8">
        <v>3.8</v>
      </c>
      <c r="G27" s="3">
        <v>-4.2610000000000001</v>
      </c>
      <c r="H27" s="3">
        <v>-4.2350000000000003</v>
      </c>
      <c r="I27">
        <f t="shared" si="0"/>
        <v>-4.2480000000000002</v>
      </c>
      <c r="J27" s="3">
        <v>-3.871</v>
      </c>
      <c r="K27" s="3">
        <v>-3.2829999999999999</v>
      </c>
      <c r="L27" s="3">
        <f t="shared" si="5"/>
        <v>-3.577</v>
      </c>
      <c r="M27" s="3">
        <v>-5.4589999999999996</v>
      </c>
      <c r="N27" s="3">
        <v>-1.71</v>
      </c>
      <c r="O27" s="3">
        <f t="shared" si="1"/>
        <v>-3.5844999999999998</v>
      </c>
      <c r="P27" s="3">
        <v>-3.8490000000000002</v>
      </c>
      <c r="Q27" s="3">
        <v>-1.944</v>
      </c>
      <c r="R27" s="3">
        <f t="shared" si="2"/>
        <v>-2.8965000000000001</v>
      </c>
      <c r="S27" s="3">
        <v>-2.0630000000000002</v>
      </c>
      <c r="T27" s="3">
        <v>0.88400000000000001</v>
      </c>
      <c r="U27" s="3">
        <f t="shared" si="3"/>
        <v>-0.58950000000000014</v>
      </c>
      <c r="V27" s="3">
        <v>-0.44800000000000001</v>
      </c>
      <c r="W27" s="3">
        <v>-0.35</v>
      </c>
      <c r="X27" s="3">
        <f t="shared" si="4"/>
        <v>-0.39900000000000002</v>
      </c>
      <c r="Y27">
        <v>66</v>
      </c>
      <c r="Z27">
        <v>26</v>
      </c>
      <c r="AA27">
        <v>21</v>
      </c>
      <c r="AB27">
        <v>19</v>
      </c>
      <c r="AC27" t="s">
        <v>42</v>
      </c>
      <c r="AD27">
        <v>12</v>
      </c>
      <c r="AE27">
        <v>8</v>
      </c>
      <c r="AF27">
        <v>3</v>
      </c>
      <c r="AG27">
        <v>3</v>
      </c>
      <c r="AH27">
        <v>6</v>
      </c>
      <c r="AI27">
        <v>8</v>
      </c>
      <c r="AJ27">
        <v>8</v>
      </c>
      <c r="AK27">
        <v>11</v>
      </c>
      <c r="AL27">
        <v>7</v>
      </c>
      <c r="AM27">
        <v>98.6</v>
      </c>
    </row>
    <row r="28" spans="1:39" x14ac:dyDescent="0.2">
      <c r="A28" t="s">
        <v>1</v>
      </c>
      <c r="B28" s="1">
        <v>80</v>
      </c>
      <c r="C28" s="3">
        <v>0.39009590909090902</v>
      </c>
      <c r="D28">
        <v>53</v>
      </c>
      <c r="E28">
        <v>29</v>
      </c>
      <c r="F28" s="8">
        <v>4</v>
      </c>
      <c r="G28" s="3">
        <v>0.86799999999999999</v>
      </c>
      <c r="H28" s="3">
        <v>0.90700000000000003</v>
      </c>
      <c r="I28">
        <f t="shared" si="0"/>
        <v>0.88749999999999996</v>
      </c>
      <c r="J28" s="3">
        <v>0.64700000000000002</v>
      </c>
      <c r="K28" s="3">
        <v>0.28199999999999997</v>
      </c>
      <c r="L28" s="3">
        <f t="shared" si="5"/>
        <v>0.46450000000000002</v>
      </c>
      <c r="M28" s="3">
        <v>-0.85399999999999998</v>
      </c>
      <c r="N28" s="3">
        <v>2.7549999999999999</v>
      </c>
      <c r="O28" s="3">
        <f t="shared" si="1"/>
        <v>0.9504999999999999</v>
      </c>
      <c r="P28" s="3">
        <v>2.6869999999999998</v>
      </c>
      <c r="Q28" s="3">
        <v>3.3290000000000002</v>
      </c>
      <c r="R28" s="3">
        <f t="shared" si="2"/>
        <v>3.008</v>
      </c>
      <c r="S28" s="3">
        <v>-8.3089999999999993</v>
      </c>
      <c r="T28" s="3">
        <v>-4.45</v>
      </c>
      <c r="U28" s="3">
        <f t="shared" si="3"/>
        <v>-6.3795000000000002</v>
      </c>
      <c r="V28" s="3">
        <v>-3.18</v>
      </c>
      <c r="W28" s="3">
        <v>-2.6230000000000002</v>
      </c>
      <c r="X28" s="3">
        <f t="shared" si="4"/>
        <v>-2.9015000000000004</v>
      </c>
      <c r="Y28">
        <v>68</v>
      </c>
      <c r="Z28">
        <v>26</v>
      </c>
      <c r="AA28">
        <v>20</v>
      </c>
      <c r="AB28">
        <v>22</v>
      </c>
      <c r="AC28" t="s">
        <v>43</v>
      </c>
      <c r="AD28">
        <v>13</v>
      </c>
      <c r="AE28">
        <v>7</v>
      </c>
      <c r="AF28">
        <v>6</v>
      </c>
      <c r="AG28">
        <v>4</v>
      </c>
      <c r="AH28">
        <v>3</v>
      </c>
      <c r="AI28">
        <v>10</v>
      </c>
      <c r="AJ28">
        <v>7</v>
      </c>
      <c r="AK28">
        <v>12</v>
      </c>
      <c r="AL28">
        <v>6</v>
      </c>
      <c r="AM28">
        <v>94.1</v>
      </c>
    </row>
    <row r="29" spans="1:39" x14ac:dyDescent="0.2">
      <c r="A29" t="s">
        <v>1</v>
      </c>
      <c r="B29" s="1">
        <v>84</v>
      </c>
      <c r="C29" s="3">
        <v>0.492480434782609</v>
      </c>
      <c r="D29">
        <v>45</v>
      </c>
      <c r="E29">
        <v>17</v>
      </c>
      <c r="F29" s="8">
        <v>3.5</v>
      </c>
      <c r="G29" s="3">
        <v>-1.7809999999999999</v>
      </c>
      <c r="H29" s="3">
        <v>-1.3360000000000001</v>
      </c>
      <c r="I29">
        <f t="shared" si="0"/>
        <v>-1.5585</v>
      </c>
      <c r="J29" s="3">
        <v>0.127</v>
      </c>
      <c r="K29" s="3">
        <v>-0.107</v>
      </c>
      <c r="L29" s="3">
        <f t="shared" si="5"/>
        <v>1.0000000000000002E-2</v>
      </c>
      <c r="M29" s="3">
        <v>-2.7189999999999999</v>
      </c>
      <c r="N29" s="3">
        <v>-2.5750000000000002</v>
      </c>
      <c r="O29" s="3">
        <f t="shared" si="1"/>
        <v>-2.6470000000000002</v>
      </c>
      <c r="P29" s="3">
        <v>0.34499999999999997</v>
      </c>
      <c r="Q29" s="3">
        <v>-0.57699999999999996</v>
      </c>
      <c r="R29" s="3">
        <f t="shared" si="2"/>
        <v>-0.11599999999999999</v>
      </c>
      <c r="S29" s="3">
        <v>-3.8039999999999998</v>
      </c>
      <c r="T29" s="3">
        <v>-3.532</v>
      </c>
      <c r="U29" s="3">
        <f t="shared" si="3"/>
        <v>-3.6680000000000001</v>
      </c>
      <c r="V29" s="3">
        <v>-2.093</v>
      </c>
      <c r="W29" s="3">
        <v>-2.5430000000000001</v>
      </c>
      <c r="X29" s="3">
        <f t="shared" si="4"/>
        <v>-2.3180000000000001</v>
      </c>
      <c r="Y29">
        <v>68</v>
      </c>
      <c r="Z29">
        <v>34</v>
      </c>
      <c r="AA29">
        <v>20</v>
      </c>
      <c r="AB29">
        <v>14</v>
      </c>
      <c r="AC29" t="s">
        <v>42</v>
      </c>
      <c r="AD29">
        <v>8</v>
      </c>
      <c r="AE29">
        <v>10</v>
      </c>
      <c r="AF29">
        <v>10</v>
      </c>
      <c r="AG29">
        <v>5</v>
      </c>
      <c r="AH29">
        <v>7</v>
      </c>
      <c r="AI29">
        <v>6</v>
      </c>
      <c r="AJ29">
        <v>6</v>
      </c>
      <c r="AK29">
        <v>8</v>
      </c>
      <c r="AL29">
        <v>8</v>
      </c>
      <c r="AM29">
        <v>84.1</v>
      </c>
    </row>
    <row r="30" spans="1:39" x14ac:dyDescent="0.2">
      <c r="A30" t="s">
        <v>1</v>
      </c>
      <c r="B30" s="1">
        <v>85</v>
      </c>
      <c r="C30" s="3">
        <v>0.352983461538461</v>
      </c>
      <c r="D30">
        <v>52</v>
      </c>
      <c r="E30">
        <v>14</v>
      </c>
      <c r="F30" s="8">
        <v>3.42</v>
      </c>
      <c r="G30" s="3">
        <v>-0.439</v>
      </c>
      <c r="H30" s="3">
        <v>-0.58299999999999996</v>
      </c>
      <c r="I30">
        <f>AVERAGE(G30,H30)</f>
        <v>-0.51100000000000001</v>
      </c>
      <c r="J30" s="3">
        <v>0.191</v>
      </c>
      <c r="K30" s="3">
        <v>-0.11700000000000001</v>
      </c>
      <c r="L30" s="3">
        <f t="shared" si="5"/>
        <v>3.6999999999999998E-2</v>
      </c>
      <c r="M30" s="3">
        <v>-4.53</v>
      </c>
      <c r="N30" s="3">
        <v>-4.2439999999999998</v>
      </c>
      <c r="O30" s="3">
        <f t="shared" si="1"/>
        <v>-4.3870000000000005</v>
      </c>
      <c r="P30" s="3">
        <v>-1.8939999999999999</v>
      </c>
      <c r="Q30" s="3">
        <v>-2.2890000000000001</v>
      </c>
      <c r="R30" s="3">
        <f>AVERAGE(P30,Q30)</f>
        <v>-2.0914999999999999</v>
      </c>
      <c r="S30" s="3">
        <v>-4.7489999999999997</v>
      </c>
      <c r="T30" s="3">
        <v>-3.379</v>
      </c>
      <c r="U30" s="3">
        <f t="shared" si="3"/>
        <v>-4.0640000000000001</v>
      </c>
      <c r="V30" s="3">
        <v>-2.4319999999999999</v>
      </c>
      <c r="W30" s="3">
        <v>-1.651</v>
      </c>
      <c r="X30" s="3">
        <f t="shared" si="4"/>
        <v>-2.0415000000000001</v>
      </c>
      <c r="Y30">
        <v>66</v>
      </c>
      <c r="Z30">
        <v>31</v>
      </c>
      <c r="AA30">
        <v>18</v>
      </c>
      <c r="AB30">
        <v>17</v>
      </c>
      <c r="AC30" t="s">
        <v>42</v>
      </c>
      <c r="AD30">
        <v>8</v>
      </c>
      <c r="AE30">
        <v>5</v>
      </c>
      <c r="AF30">
        <v>7</v>
      </c>
      <c r="AG30">
        <v>6</v>
      </c>
      <c r="AH30">
        <v>4</v>
      </c>
      <c r="AI30">
        <v>8</v>
      </c>
      <c r="AJ30">
        <v>9</v>
      </c>
      <c r="AK30">
        <v>9</v>
      </c>
      <c r="AL30">
        <v>10</v>
      </c>
      <c r="AM30">
        <v>97.1</v>
      </c>
    </row>
    <row r="31" spans="1:39" x14ac:dyDescent="0.2">
      <c r="A31" t="s">
        <v>2</v>
      </c>
      <c r="B31" s="1" t="s">
        <v>0</v>
      </c>
      <c r="C31" s="3">
        <v>0.37856038461538499</v>
      </c>
      <c r="D31">
        <v>47</v>
      </c>
      <c r="E31">
        <v>18</v>
      </c>
      <c r="F31" s="8">
        <v>1.7</v>
      </c>
      <c r="G31" s="3">
        <v>-3.621</v>
      </c>
      <c r="H31" s="3">
        <v>-2.9630000000000001</v>
      </c>
      <c r="I31">
        <f t="shared" si="0"/>
        <v>-3.2919999999999998</v>
      </c>
      <c r="J31" s="3">
        <v>-1.6739999999999999</v>
      </c>
      <c r="K31" s="3">
        <v>-1.4630000000000001</v>
      </c>
      <c r="L31" s="3">
        <f t="shared" si="5"/>
        <v>-1.5685</v>
      </c>
      <c r="M31" s="3">
        <v>-3.6139999999999999</v>
      </c>
      <c r="N31" s="3">
        <v>-1.2290000000000001</v>
      </c>
      <c r="O31" s="3">
        <f t="shared" si="1"/>
        <v>-2.4215</v>
      </c>
      <c r="P31" s="3">
        <v>1.6E-2</v>
      </c>
      <c r="Q31" s="3">
        <v>0.376</v>
      </c>
      <c r="R31" s="3">
        <f>AVERAGE(P31,Q31)</f>
        <v>0.19600000000000001</v>
      </c>
      <c r="S31" s="3">
        <v>-5.1479999999999997</v>
      </c>
      <c r="T31" s="3">
        <v>-2.202</v>
      </c>
      <c r="U31" s="3">
        <f t="shared" si="3"/>
        <v>-3.6749999999999998</v>
      </c>
      <c r="V31" s="3">
        <v>-2.5030000000000001</v>
      </c>
      <c r="W31" s="3">
        <v>-1.6339999999999999</v>
      </c>
      <c r="X31" s="3">
        <f t="shared" si="4"/>
        <v>-2.0685000000000002</v>
      </c>
      <c r="Y31">
        <v>92</v>
      </c>
      <c r="Z31">
        <v>42</v>
      </c>
      <c r="AA31">
        <v>28</v>
      </c>
      <c r="AB31">
        <v>22</v>
      </c>
      <c r="AC31" t="s">
        <v>43</v>
      </c>
      <c r="AD31">
        <v>12</v>
      </c>
      <c r="AE31">
        <v>10</v>
      </c>
      <c r="AF31">
        <v>9</v>
      </c>
      <c r="AG31">
        <v>8</v>
      </c>
      <c r="AH31">
        <v>8</v>
      </c>
      <c r="AI31">
        <v>10</v>
      </c>
      <c r="AJ31">
        <v>12</v>
      </c>
      <c r="AK31">
        <v>12</v>
      </c>
      <c r="AL31">
        <v>11</v>
      </c>
      <c r="AM31">
        <v>99</v>
      </c>
    </row>
    <row r="32" spans="1:39" x14ac:dyDescent="0.2">
      <c r="A32" t="s">
        <v>2</v>
      </c>
      <c r="B32" s="1">
        <v>13</v>
      </c>
      <c r="C32" s="3">
        <v>0.46721875000000002</v>
      </c>
      <c r="D32">
        <v>47</v>
      </c>
      <c r="E32">
        <v>15</v>
      </c>
      <c r="F32" s="8">
        <v>3.46</v>
      </c>
      <c r="G32" s="3">
        <v>-1.349</v>
      </c>
      <c r="H32" s="3">
        <v>-0.55800000000000005</v>
      </c>
      <c r="I32">
        <f t="shared" si="0"/>
        <v>-0.95350000000000001</v>
      </c>
      <c r="J32" s="3">
        <v>0.158</v>
      </c>
      <c r="K32" s="3">
        <v>-2.5999999999999999E-2</v>
      </c>
      <c r="L32" s="3">
        <f t="shared" si="5"/>
        <v>6.6000000000000003E-2</v>
      </c>
      <c r="M32" s="3">
        <v>0.43</v>
      </c>
      <c r="N32" s="3">
        <v>-0.252</v>
      </c>
      <c r="O32" s="3">
        <f t="shared" si="1"/>
        <v>8.8999999999999996E-2</v>
      </c>
      <c r="P32" s="3">
        <v>0.97799999999999998</v>
      </c>
      <c r="Q32" s="3">
        <v>0.25</v>
      </c>
      <c r="R32" s="3">
        <f t="shared" ref="R32:R51" si="6">AVERAGE(P32,Q32)</f>
        <v>0.61399999999999999</v>
      </c>
      <c r="S32" s="3">
        <v>0.85399999999999998</v>
      </c>
      <c r="T32" s="3">
        <v>0.54400000000000004</v>
      </c>
      <c r="U32" s="3">
        <f t="shared" si="3"/>
        <v>0.69900000000000007</v>
      </c>
      <c r="V32" s="3">
        <v>-0.36499999999999999</v>
      </c>
      <c r="W32" s="3">
        <v>0.41899999999999998</v>
      </c>
      <c r="X32" s="3">
        <f t="shared" si="4"/>
        <v>2.6999999999999996E-2</v>
      </c>
      <c r="Y32">
        <v>95</v>
      </c>
      <c r="Z32">
        <v>41</v>
      </c>
      <c r="AA32">
        <v>22</v>
      </c>
      <c r="AB32">
        <v>32</v>
      </c>
      <c r="AC32" t="s">
        <v>44</v>
      </c>
      <c r="AD32">
        <v>7</v>
      </c>
      <c r="AE32">
        <v>8</v>
      </c>
      <c r="AF32">
        <v>9</v>
      </c>
      <c r="AG32">
        <v>7</v>
      </c>
      <c r="AH32">
        <v>8</v>
      </c>
      <c r="AI32">
        <v>16</v>
      </c>
      <c r="AJ32">
        <v>9</v>
      </c>
      <c r="AK32">
        <v>16</v>
      </c>
      <c r="AL32">
        <v>15</v>
      </c>
      <c r="AM32">
        <v>84.5</v>
      </c>
    </row>
    <row r="33" spans="1:39" x14ac:dyDescent="0.2">
      <c r="A33" t="s">
        <v>2</v>
      </c>
      <c r="B33" s="1">
        <v>15</v>
      </c>
      <c r="C33" s="3">
        <v>0.44211119999999998</v>
      </c>
      <c r="D33">
        <v>47</v>
      </c>
      <c r="E33">
        <v>20</v>
      </c>
      <c r="F33" s="8">
        <v>3.5</v>
      </c>
      <c r="G33" s="3">
        <v>-3.133</v>
      </c>
      <c r="H33" s="3">
        <v>-2.2469999999999999</v>
      </c>
      <c r="I33">
        <f t="shared" si="0"/>
        <v>-2.69</v>
      </c>
      <c r="J33" s="3">
        <v>-0.87</v>
      </c>
      <c r="K33" s="3">
        <v>-1.167</v>
      </c>
      <c r="L33" s="3">
        <f t="shared" si="5"/>
        <v>-1.0185</v>
      </c>
      <c r="M33" s="3">
        <v>-4.3129999999999997</v>
      </c>
      <c r="N33" s="3">
        <v>-4.6520000000000001</v>
      </c>
      <c r="O33" s="3">
        <f t="shared" si="1"/>
        <v>-4.4824999999999999</v>
      </c>
      <c r="P33" s="3">
        <v>-1.0489999999999999</v>
      </c>
      <c r="Q33" s="3">
        <v>-2.4569999999999999</v>
      </c>
      <c r="R33" s="3">
        <f t="shared" si="6"/>
        <v>-1.7529999999999999</v>
      </c>
      <c r="S33" s="3">
        <v>-2.9780000000000002</v>
      </c>
      <c r="T33" s="3">
        <v>-2.7309999999999999</v>
      </c>
      <c r="U33" s="3">
        <f t="shared" si="3"/>
        <v>-2.8544999999999998</v>
      </c>
      <c r="V33" s="3">
        <v>-1.82</v>
      </c>
      <c r="W33" s="3">
        <v>-1.5780000000000001</v>
      </c>
      <c r="X33" s="3">
        <f t="shared" si="4"/>
        <v>-1.6990000000000001</v>
      </c>
      <c r="Y33">
        <v>95</v>
      </c>
      <c r="Z33">
        <v>42</v>
      </c>
      <c r="AA33">
        <v>29</v>
      </c>
      <c r="AB33">
        <v>24</v>
      </c>
      <c r="AC33" t="s">
        <v>44</v>
      </c>
      <c r="AD33">
        <v>12</v>
      </c>
      <c r="AE33">
        <v>9</v>
      </c>
      <c r="AF33">
        <v>9</v>
      </c>
      <c r="AG33">
        <v>9</v>
      </c>
      <c r="AH33">
        <v>8</v>
      </c>
      <c r="AI33">
        <v>12</v>
      </c>
      <c r="AJ33">
        <v>12</v>
      </c>
      <c r="AK33">
        <v>12</v>
      </c>
      <c r="AL33">
        <v>12</v>
      </c>
      <c r="AM33">
        <v>98.6</v>
      </c>
    </row>
    <row r="34" spans="1:39" x14ac:dyDescent="0.2">
      <c r="A34" t="s">
        <v>2</v>
      </c>
      <c r="B34" s="1">
        <v>18</v>
      </c>
      <c r="C34" s="3">
        <v>0.42289359999999998</v>
      </c>
      <c r="D34">
        <v>56</v>
      </c>
      <c r="E34">
        <v>30</v>
      </c>
      <c r="F34" s="8">
        <v>3.75</v>
      </c>
      <c r="G34" s="3">
        <v>-1.708</v>
      </c>
      <c r="H34" s="3">
        <v>-2.13</v>
      </c>
      <c r="I34">
        <f t="shared" si="0"/>
        <v>-1.919</v>
      </c>
      <c r="J34" s="3">
        <v>-1.657</v>
      </c>
      <c r="K34" s="3">
        <v>-1.9950000000000001</v>
      </c>
      <c r="L34" s="3">
        <f t="shared" si="5"/>
        <v>-1.8260000000000001</v>
      </c>
      <c r="M34" s="3">
        <v>-1.54</v>
      </c>
      <c r="N34" s="3">
        <v>-2.758</v>
      </c>
      <c r="O34" s="3">
        <f t="shared" si="1"/>
        <v>-2.149</v>
      </c>
      <c r="P34" s="3">
        <v>-0.48699999999999999</v>
      </c>
      <c r="Q34" s="3">
        <v>-1.0620000000000001</v>
      </c>
      <c r="R34" s="3">
        <f t="shared" si="6"/>
        <v>-0.77449999999999997</v>
      </c>
      <c r="S34" s="3">
        <v>-3.38</v>
      </c>
      <c r="T34" s="3">
        <v>-3.9060000000000001</v>
      </c>
      <c r="U34" s="3">
        <f t="shared" si="3"/>
        <v>-3.6429999999999998</v>
      </c>
      <c r="V34" s="3">
        <v>-2.0110000000000001</v>
      </c>
      <c r="W34" s="3">
        <v>-1.718</v>
      </c>
      <c r="X34" s="3">
        <f t="shared" si="4"/>
        <v>-1.8645</v>
      </c>
      <c r="Y34">
        <v>99</v>
      </c>
      <c r="Z34">
        <v>48</v>
      </c>
      <c r="AA34">
        <v>19</v>
      </c>
      <c r="AB34">
        <v>32</v>
      </c>
      <c r="AC34" t="s">
        <v>44</v>
      </c>
      <c r="AD34">
        <v>9</v>
      </c>
      <c r="AE34">
        <v>12</v>
      </c>
      <c r="AF34">
        <v>7</v>
      </c>
      <c r="AG34">
        <v>5</v>
      </c>
      <c r="AH34">
        <v>5</v>
      </c>
      <c r="AI34">
        <v>16</v>
      </c>
      <c r="AJ34">
        <v>14</v>
      </c>
      <c r="AK34">
        <v>16</v>
      </c>
      <c r="AL34">
        <v>15</v>
      </c>
      <c r="AM34">
        <v>96.2</v>
      </c>
    </row>
    <row r="35" spans="1:39" x14ac:dyDescent="0.2">
      <c r="A35" t="s">
        <v>2</v>
      </c>
      <c r="B35" s="1">
        <v>19</v>
      </c>
      <c r="C35" s="3">
        <v>0.39804208333333302</v>
      </c>
      <c r="D35">
        <v>55</v>
      </c>
      <c r="E35">
        <v>24</v>
      </c>
      <c r="F35" s="8">
        <v>3.7</v>
      </c>
      <c r="G35" s="3">
        <v>0.56999999999999995</v>
      </c>
      <c r="H35" s="3">
        <v>-0.41099999999999998</v>
      </c>
      <c r="I35">
        <f t="shared" si="0"/>
        <v>7.9499999999999987E-2</v>
      </c>
      <c r="J35" s="3">
        <v>0.35299999999999998</v>
      </c>
      <c r="K35" s="3">
        <v>-2.1999999999999999E-2</v>
      </c>
      <c r="L35" s="3">
        <f t="shared" si="5"/>
        <v>0.16549999999999998</v>
      </c>
      <c r="M35" s="3">
        <v>-0.86499999999999999</v>
      </c>
      <c r="N35" s="3">
        <v>-1.2250000000000001</v>
      </c>
      <c r="O35" s="3">
        <f t="shared" si="1"/>
        <v>-1.0449999999999999</v>
      </c>
      <c r="P35" s="3">
        <v>-5.6000000000000001E-2</v>
      </c>
      <c r="Q35" s="3">
        <v>-0.42299999999999999</v>
      </c>
      <c r="R35" s="3">
        <f t="shared" si="6"/>
        <v>-0.23949999999999999</v>
      </c>
      <c r="S35" s="3">
        <v>-2.0539999999999998</v>
      </c>
      <c r="T35" s="3">
        <v>-0.85899999999999999</v>
      </c>
      <c r="U35" s="3">
        <f t="shared" si="3"/>
        <v>-1.4564999999999999</v>
      </c>
      <c r="V35" s="3">
        <v>-0.628</v>
      </c>
      <c r="W35" s="3">
        <v>-0.34499999999999997</v>
      </c>
      <c r="X35" s="3">
        <f t="shared" si="4"/>
        <v>-0.48649999999999999</v>
      </c>
      <c r="Y35">
        <v>89</v>
      </c>
      <c r="Z35">
        <v>35</v>
      </c>
      <c r="AA35">
        <v>30</v>
      </c>
      <c r="AB35">
        <v>24</v>
      </c>
      <c r="AC35" t="s">
        <v>44</v>
      </c>
      <c r="AD35">
        <v>16</v>
      </c>
      <c r="AE35">
        <v>12</v>
      </c>
      <c r="AF35">
        <v>9</v>
      </c>
      <c r="AG35">
        <v>9</v>
      </c>
      <c r="AH35">
        <v>5</v>
      </c>
      <c r="AI35">
        <v>10</v>
      </c>
      <c r="AJ35">
        <v>4</v>
      </c>
      <c r="AK35">
        <v>14</v>
      </c>
      <c r="AL35">
        <v>10</v>
      </c>
      <c r="AM35">
        <v>86.4</v>
      </c>
    </row>
    <row r="36" spans="1:39" x14ac:dyDescent="0.2">
      <c r="A36" t="s">
        <v>2</v>
      </c>
      <c r="B36" s="1">
        <v>21</v>
      </c>
      <c r="C36" s="3">
        <v>0.37963333333333299</v>
      </c>
      <c r="D36">
        <v>53</v>
      </c>
      <c r="E36">
        <v>52</v>
      </c>
      <c r="F36" s="8">
        <v>3.8</v>
      </c>
      <c r="G36" s="3">
        <v>-5.7960000000000003</v>
      </c>
      <c r="H36" s="3">
        <v>-4.8609999999999998</v>
      </c>
      <c r="I36">
        <f t="shared" si="0"/>
        <v>-5.3285</v>
      </c>
      <c r="J36" s="3">
        <v>-3.891</v>
      </c>
      <c r="K36" s="3">
        <v>-3.5350000000000001</v>
      </c>
      <c r="L36" s="3">
        <f t="shared" si="5"/>
        <v>-3.7130000000000001</v>
      </c>
      <c r="M36" s="3">
        <v>-6.6310000000000002</v>
      </c>
      <c r="N36" s="3">
        <v>-6.859</v>
      </c>
      <c r="O36" s="3">
        <f t="shared" si="1"/>
        <v>-6.7450000000000001</v>
      </c>
      <c r="P36" s="3">
        <v>-1.5740000000000001</v>
      </c>
      <c r="Q36" s="3">
        <v>-2.5289999999999999</v>
      </c>
      <c r="R36" s="3">
        <f t="shared" si="6"/>
        <v>-2.0514999999999999</v>
      </c>
      <c r="S36" s="3">
        <v>-8.4770000000000003</v>
      </c>
      <c r="T36" s="3">
        <v>-6.931</v>
      </c>
      <c r="U36" s="3">
        <f t="shared" si="3"/>
        <v>-7.7040000000000006</v>
      </c>
      <c r="V36" s="3">
        <v>-3.8330000000000002</v>
      </c>
      <c r="W36" s="3">
        <v>-2.806</v>
      </c>
      <c r="X36" s="3">
        <f t="shared" si="4"/>
        <v>-3.3195000000000001</v>
      </c>
      <c r="Y36">
        <v>97</v>
      </c>
      <c r="Z36">
        <v>44</v>
      </c>
      <c r="AA36">
        <v>31</v>
      </c>
      <c r="AB36">
        <v>22</v>
      </c>
      <c r="AC36" t="s">
        <v>43</v>
      </c>
      <c r="AD36">
        <v>15</v>
      </c>
      <c r="AE36">
        <v>10</v>
      </c>
      <c r="AF36">
        <v>9</v>
      </c>
      <c r="AG36">
        <v>8</v>
      </c>
      <c r="AH36">
        <v>8</v>
      </c>
      <c r="AI36">
        <v>7</v>
      </c>
      <c r="AJ36">
        <v>12</v>
      </c>
      <c r="AK36">
        <v>15</v>
      </c>
      <c r="AL36">
        <v>13</v>
      </c>
      <c r="AM36">
        <v>90.4</v>
      </c>
    </row>
    <row r="37" spans="1:39" x14ac:dyDescent="0.2">
      <c r="A37" t="s">
        <v>2</v>
      </c>
      <c r="B37" s="1">
        <v>24</v>
      </c>
      <c r="C37" s="3">
        <v>0.38210250000000001</v>
      </c>
      <c r="D37">
        <v>58</v>
      </c>
      <c r="E37">
        <v>41</v>
      </c>
      <c r="F37" s="8">
        <v>3.5</v>
      </c>
      <c r="G37" s="3">
        <v>-1.365</v>
      </c>
      <c r="H37" s="3">
        <v>-1.5369999999999999</v>
      </c>
      <c r="I37">
        <f t="shared" si="0"/>
        <v>-1.4510000000000001</v>
      </c>
      <c r="J37" s="3">
        <v>7.3999999999999996E-2</v>
      </c>
      <c r="K37" s="3">
        <v>-0.874</v>
      </c>
      <c r="L37" s="3">
        <f t="shared" si="5"/>
        <v>-0.4</v>
      </c>
      <c r="M37" s="3">
        <v>0.373</v>
      </c>
      <c r="N37" s="3">
        <v>-0.06</v>
      </c>
      <c r="O37" s="3">
        <f t="shared" si="1"/>
        <v>0.1565</v>
      </c>
      <c r="P37" s="3">
        <v>0.82799999999999996</v>
      </c>
      <c r="Q37" s="3">
        <v>6.4000000000000001E-2</v>
      </c>
      <c r="R37" s="3">
        <f t="shared" si="6"/>
        <v>0.44599999999999995</v>
      </c>
      <c r="S37" s="3">
        <v>0.37</v>
      </c>
      <c r="T37" s="3">
        <v>-0.65900000000000003</v>
      </c>
      <c r="U37" s="3">
        <f t="shared" si="3"/>
        <v>-0.14450000000000002</v>
      </c>
      <c r="V37" s="3">
        <v>-0.92300000000000004</v>
      </c>
      <c r="W37" s="3">
        <v>-1.3320000000000001</v>
      </c>
      <c r="X37" s="3">
        <f>AVERAGE(V37,W37)</f>
        <v>-1.1274999999999999</v>
      </c>
      <c r="Y37">
        <v>99</v>
      </c>
      <c r="Z37">
        <v>48</v>
      </c>
      <c r="AA37">
        <v>31</v>
      </c>
      <c r="AB37">
        <v>20</v>
      </c>
      <c r="AC37" t="s">
        <v>42</v>
      </c>
      <c r="AD37">
        <v>16</v>
      </c>
      <c r="AE37">
        <v>12</v>
      </c>
      <c r="AF37">
        <v>11</v>
      </c>
      <c r="AG37">
        <v>8</v>
      </c>
      <c r="AH37">
        <v>7</v>
      </c>
      <c r="AI37">
        <v>8</v>
      </c>
      <c r="AJ37">
        <v>12</v>
      </c>
      <c r="AK37">
        <v>12</v>
      </c>
      <c r="AL37">
        <v>13</v>
      </c>
      <c r="AM37">
        <v>89.6</v>
      </c>
    </row>
    <row r="38" spans="1:39" x14ac:dyDescent="0.2">
      <c r="A38" t="s">
        <v>2</v>
      </c>
      <c r="B38" s="1">
        <v>26</v>
      </c>
      <c r="C38" s="3">
        <v>0.37064249999999999</v>
      </c>
      <c r="D38">
        <v>50</v>
      </c>
      <c r="E38">
        <v>14</v>
      </c>
      <c r="F38" s="8">
        <v>4</v>
      </c>
      <c r="G38" s="3">
        <v>-4.6909999999999998</v>
      </c>
      <c r="H38" s="3">
        <v>-3.423</v>
      </c>
      <c r="I38">
        <f t="shared" si="0"/>
        <v>-4.0570000000000004</v>
      </c>
      <c r="J38" s="3">
        <v>-3.8260000000000001</v>
      </c>
      <c r="K38" s="3">
        <v>-2.9249999999999998</v>
      </c>
      <c r="L38" s="3">
        <f t="shared" si="5"/>
        <v>-3.3754999999999997</v>
      </c>
      <c r="M38" s="3">
        <v>-6.3630000000000004</v>
      </c>
      <c r="N38" s="3">
        <v>-4.8010000000000002</v>
      </c>
      <c r="O38" s="3">
        <f t="shared" si="1"/>
        <v>-5.5820000000000007</v>
      </c>
      <c r="P38" s="3">
        <v>-4.1859999999999999</v>
      </c>
      <c r="Q38" s="3">
        <v>-3.2749999999999999</v>
      </c>
      <c r="R38" s="3">
        <f t="shared" si="6"/>
        <v>-3.7305000000000001</v>
      </c>
      <c r="S38" s="3">
        <v>-4.2430000000000003</v>
      </c>
      <c r="T38" s="3">
        <v>-3.0169999999999999</v>
      </c>
      <c r="U38" s="3">
        <f t="shared" si="3"/>
        <v>-3.63</v>
      </c>
      <c r="V38" s="3">
        <v>-2.5630000000000002</v>
      </c>
      <c r="W38" s="3">
        <v>-1.728</v>
      </c>
      <c r="X38" s="3">
        <f t="shared" si="4"/>
        <v>-2.1455000000000002</v>
      </c>
      <c r="Y38">
        <v>91</v>
      </c>
      <c r="Z38">
        <v>36</v>
      </c>
      <c r="AA38">
        <v>30</v>
      </c>
      <c r="AB38">
        <v>25</v>
      </c>
      <c r="AC38" t="s">
        <v>44</v>
      </c>
      <c r="AD38">
        <v>16</v>
      </c>
      <c r="AE38">
        <v>12</v>
      </c>
      <c r="AF38">
        <v>9</v>
      </c>
      <c r="AG38">
        <v>8</v>
      </c>
      <c r="AH38">
        <v>6</v>
      </c>
      <c r="AI38">
        <v>9</v>
      </c>
      <c r="AJ38">
        <v>7</v>
      </c>
      <c r="AK38">
        <v>16</v>
      </c>
      <c r="AL38">
        <v>8</v>
      </c>
      <c r="AM38">
        <v>91.2</v>
      </c>
    </row>
    <row r="39" spans="1:39" x14ac:dyDescent="0.2">
      <c r="A39" t="s">
        <v>2</v>
      </c>
      <c r="B39" s="1">
        <v>30</v>
      </c>
      <c r="C39" s="3">
        <v>0.32019291666666699</v>
      </c>
      <c r="D39">
        <v>41</v>
      </c>
      <c r="E39">
        <v>22</v>
      </c>
      <c r="F39" s="8">
        <v>3</v>
      </c>
      <c r="G39" s="3">
        <v>0.311</v>
      </c>
      <c r="H39" s="3">
        <v>0.27200000000000002</v>
      </c>
      <c r="I39">
        <f t="shared" si="0"/>
        <v>0.29149999999999998</v>
      </c>
      <c r="J39" s="3">
        <v>-3.3000000000000002E-2</v>
      </c>
      <c r="K39" s="3">
        <v>-0.308</v>
      </c>
      <c r="L39" s="3">
        <f t="shared" si="5"/>
        <v>-0.17049999999999998</v>
      </c>
      <c r="M39" s="3">
        <v>0.52600000000000002</v>
      </c>
      <c r="N39" s="3">
        <v>0.14899999999999999</v>
      </c>
      <c r="O39" s="3">
        <f t="shared" si="1"/>
        <v>0.33750000000000002</v>
      </c>
      <c r="P39" s="3">
        <v>0.61799999999999999</v>
      </c>
      <c r="Q39" s="3">
        <v>0.121</v>
      </c>
      <c r="R39" s="3">
        <f t="shared" si="6"/>
        <v>0.3695</v>
      </c>
      <c r="S39" s="3">
        <v>-1.919</v>
      </c>
      <c r="T39" s="3">
        <v>-1.4339999999999999</v>
      </c>
      <c r="U39" s="3">
        <f t="shared" si="3"/>
        <v>-1.6764999999999999</v>
      </c>
      <c r="V39" s="3">
        <v>-1.2769999999999999</v>
      </c>
      <c r="W39" s="3">
        <v>-0.65500000000000003</v>
      </c>
      <c r="X39" s="3">
        <f t="shared" si="4"/>
        <v>-0.96599999999999997</v>
      </c>
      <c r="Y39">
        <v>95</v>
      </c>
      <c r="Z39">
        <v>40</v>
      </c>
      <c r="AA39">
        <v>34</v>
      </c>
      <c r="AB39">
        <v>21</v>
      </c>
      <c r="AC39" t="s">
        <v>42</v>
      </c>
      <c r="AD39">
        <v>14</v>
      </c>
      <c r="AE39">
        <v>8</v>
      </c>
      <c r="AF39">
        <v>11</v>
      </c>
      <c r="AG39">
        <v>12</v>
      </c>
      <c r="AH39">
        <v>8</v>
      </c>
      <c r="AI39">
        <v>10</v>
      </c>
      <c r="AJ39">
        <v>6</v>
      </c>
      <c r="AK39">
        <v>11</v>
      </c>
      <c r="AL39">
        <v>15</v>
      </c>
      <c r="AM39">
        <v>94.2</v>
      </c>
    </row>
    <row r="40" spans="1:39" x14ac:dyDescent="0.2">
      <c r="A40" t="s">
        <v>2</v>
      </c>
      <c r="B40" s="1">
        <v>52</v>
      </c>
      <c r="C40" s="3">
        <v>0.38657846153846198</v>
      </c>
      <c r="D40">
        <v>56</v>
      </c>
      <c r="E40">
        <v>29</v>
      </c>
      <c r="F40" s="8">
        <v>3.77</v>
      </c>
      <c r="G40" s="3">
        <v>1.395</v>
      </c>
      <c r="H40" s="3">
        <v>0.92900000000000005</v>
      </c>
      <c r="I40">
        <f t="shared" si="0"/>
        <v>1.1619999999999999</v>
      </c>
      <c r="J40" s="3">
        <v>0.498</v>
      </c>
      <c r="K40" s="3">
        <v>0.124</v>
      </c>
      <c r="L40" s="3">
        <f>AVERAGE(J40,K40)</f>
        <v>0.311</v>
      </c>
      <c r="M40" s="3">
        <v>2.1819999999999999</v>
      </c>
      <c r="N40" s="3">
        <v>1.3240000000000001</v>
      </c>
      <c r="O40" s="3">
        <f t="shared" si="1"/>
        <v>1.7530000000000001</v>
      </c>
      <c r="P40" s="3">
        <v>1.2090000000000001</v>
      </c>
      <c r="Q40" s="3">
        <v>0.63300000000000001</v>
      </c>
      <c r="R40" s="3">
        <f t="shared" si="6"/>
        <v>0.92100000000000004</v>
      </c>
      <c r="S40" s="3">
        <v>-1.968</v>
      </c>
      <c r="T40" s="3">
        <v>-1.907</v>
      </c>
      <c r="U40" s="3">
        <f t="shared" si="3"/>
        <v>-1.9375</v>
      </c>
      <c r="V40" s="3">
        <v>-2.0630000000000002</v>
      </c>
      <c r="W40" s="3">
        <v>-1.7130000000000001</v>
      </c>
      <c r="X40" s="3">
        <f t="shared" si="4"/>
        <v>-1.8880000000000001</v>
      </c>
      <c r="Y40">
        <v>87</v>
      </c>
      <c r="Z40">
        <v>37</v>
      </c>
      <c r="AA40">
        <v>25</v>
      </c>
      <c r="AB40">
        <v>25</v>
      </c>
      <c r="AC40" t="s">
        <v>44</v>
      </c>
      <c r="AD40">
        <v>14</v>
      </c>
      <c r="AE40">
        <v>8</v>
      </c>
      <c r="AF40">
        <v>8</v>
      </c>
      <c r="AG40">
        <v>6</v>
      </c>
      <c r="AH40">
        <v>5</v>
      </c>
      <c r="AI40">
        <v>12</v>
      </c>
      <c r="AJ40">
        <v>8</v>
      </c>
      <c r="AK40">
        <v>13</v>
      </c>
      <c r="AL40">
        <v>13</v>
      </c>
      <c r="AM40">
        <v>97.5</v>
      </c>
    </row>
    <row r="41" spans="1:39" x14ac:dyDescent="0.2">
      <c r="A41" t="s">
        <v>2</v>
      </c>
      <c r="B41" s="1">
        <v>53</v>
      </c>
      <c r="C41" s="3">
        <v>0.37190192307692299</v>
      </c>
      <c r="D41">
        <v>54</v>
      </c>
      <c r="E41">
        <v>27</v>
      </c>
      <c r="F41" s="8">
        <v>3.8</v>
      </c>
      <c r="G41" s="3">
        <v>0.11899999999999999</v>
      </c>
      <c r="H41" s="3">
        <v>-0.1</v>
      </c>
      <c r="I41">
        <f t="shared" si="0"/>
        <v>9.4999999999999946E-3</v>
      </c>
      <c r="J41" s="3">
        <v>-0.92200000000000004</v>
      </c>
      <c r="K41" s="3">
        <v>-0.93400000000000005</v>
      </c>
      <c r="L41" s="3">
        <f t="shared" si="5"/>
        <v>-0.92800000000000005</v>
      </c>
      <c r="M41" s="3">
        <v>-0.76200000000000001</v>
      </c>
      <c r="N41" s="3">
        <v>-1.5249999999999999</v>
      </c>
      <c r="O41" s="3">
        <f t="shared" si="1"/>
        <v>-1.1435</v>
      </c>
      <c r="P41" s="3">
        <v>-0.56999999999999995</v>
      </c>
      <c r="Q41" s="3">
        <v>-0.88200000000000001</v>
      </c>
      <c r="R41" s="3">
        <f t="shared" si="6"/>
        <v>-0.72599999999999998</v>
      </c>
      <c r="S41" s="3">
        <v>-4.8319999999999999</v>
      </c>
      <c r="T41" s="3">
        <v>-4.8819999999999997</v>
      </c>
      <c r="U41" s="3">
        <f t="shared" si="3"/>
        <v>-4.8569999999999993</v>
      </c>
      <c r="V41" s="3">
        <v>-2.9510000000000001</v>
      </c>
      <c r="W41" s="3">
        <v>-2.851</v>
      </c>
      <c r="X41" s="3">
        <f t="shared" si="4"/>
        <v>-2.9009999999999998</v>
      </c>
      <c r="Y41">
        <v>92</v>
      </c>
      <c r="Z41">
        <v>47</v>
      </c>
      <c r="AA41">
        <v>26</v>
      </c>
      <c r="AB41">
        <v>19</v>
      </c>
      <c r="AC41" t="s">
        <v>42</v>
      </c>
      <c r="AD41">
        <v>15</v>
      </c>
      <c r="AE41">
        <v>12</v>
      </c>
      <c r="AF41">
        <v>12</v>
      </c>
      <c r="AG41">
        <v>7</v>
      </c>
      <c r="AH41">
        <v>4</v>
      </c>
      <c r="AI41">
        <v>6</v>
      </c>
      <c r="AJ41">
        <v>8</v>
      </c>
      <c r="AK41">
        <v>13</v>
      </c>
      <c r="AL41">
        <v>15</v>
      </c>
      <c r="AM41">
        <v>95.8</v>
      </c>
    </row>
    <row r="42" spans="1:39" x14ac:dyDescent="0.2">
      <c r="A42" t="s">
        <v>2</v>
      </c>
      <c r="B42" s="1">
        <v>54</v>
      </c>
      <c r="C42" s="3">
        <v>0.50021199999999999</v>
      </c>
      <c r="D42">
        <v>48</v>
      </c>
      <c r="E42">
        <v>20</v>
      </c>
      <c r="F42" s="8">
        <v>3.2</v>
      </c>
      <c r="G42" s="3">
        <v>1.514</v>
      </c>
      <c r="H42" s="3">
        <v>1.3129999999999999</v>
      </c>
      <c r="I42">
        <f t="shared" si="0"/>
        <v>1.4135</v>
      </c>
      <c r="J42" s="3">
        <v>1.6379999999999999</v>
      </c>
      <c r="K42" s="3">
        <v>1.06</v>
      </c>
      <c r="L42" s="3">
        <f t="shared" si="5"/>
        <v>1.349</v>
      </c>
      <c r="M42" s="3">
        <v>0.45100000000000001</v>
      </c>
      <c r="N42" s="3">
        <v>0.121</v>
      </c>
      <c r="O42" s="3">
        <f t="shared" si="1"/>
        <v>0.28600000000000003</v>
      </c>
      <c r="P42" s="3">
        <v>0.93500000000000005</v>
      </c>
      <c r="Q42" s="3">
        <v>0.47199999999999998</v>
      </c>
      <c r="R42" s="3">
        <f t="shared" si="6"/>
        <v>0.70350000000000001</v>
      </c>
      <c r="S42" s="3">
        <v>-1.139</v>
      </c>
      <c r="T42" s="3">
        <v>-1.694</v>
      </c>
      <c r="U42" s="3">
        <f>AVERAGE(S42,T42)</f>
        <v>-1.4165000000000001</v>
      </c>
      <c r="V42" s="3">
        <v>-0.73</v>
      </c>
      <c r="W42" s="3">
        <v>-0.94399999999999995</v>
      </c>
      <c r="X42" s="3">
        <f t="shared" si="4"/>
        <v>-0.83699999999999997</v>
      </c>
      <c r="Y42">
        <v>85</v>
      </c>
      <c r="Z42">
        <v>16</v>
      </c>
      <c r="AA42">
        <v>39</v>
      </c>
      <c r="AB42">
        <v>30</v>
      </c>
      <c r="AC42" t="s">
        <v>44</v>
      </c>
      <c r="AD42">
        <v>16</v>
      </c>
      <c r="AE42">
        <v>5</v>
      </c>
      <c r="AF42">
        <v>5</v>
      </c>
      <c r="AG42">
        <v>12</v>
      </c>
      <c r="AH42">
        <v>11</v>
      </c>
      <c r="AI42">
        <v>14</v>
      </c>
      <c r="AJ42">
        <v>0</v>
      </c>
      <c r="AK42">
        <v>16</v>
      </c>
      <c r="AL42">
        <v>6</v>
      </c>
      <c r="AM42">
        <v>93.8</v>
      </c>
    </row>
    <row r="43" spans="1:39" x14ac:dyDescent="0.2">
      <c r="A43" t="s">
        <v>2</v>
      </c>
      <c r="B43" s="1">
        <v>57</v>
      </c>
      <c r="C43" s="3">
        <v>0.35781947368421002</v>
      </c>
      <c r="D43">
        <v>50</v>
      </c>
      <c r="E43">
        <v>15</v>
      </c>
      <c r="F43" s="8">
        <v>3.5</v>
      </c>
      <c r="G43" s="3">
        <v>-2.0859999999999999</v>
      </c>
      <c r="H43" s="3">
        <v>-2.3010000000000002</v>
      </c>
      <c r="I43">
        <f t="shared" si="0"/>
        <v>-2.1935000000000002</v>
      </c>
      <c r="J43" s="3">
        <v>-1.649</v>
      </c>
      <c r="K43" s="3">
        <v>-2.5350000000000001</v>
      </c>
      <c r="L43" s="3">
        <f t="shared" si="5"/>
        <v>-2.0920000000000001</v>
      </c>
      <c r="M43" s="3">
        <v>-2.8490000000000002</v>
      </c>
      <c r="N43" s="3">
        <v>-2.2429999999999999</v>
      </c>
      <c r="O43" s="3">
        <f t="shared" si="1"/>
        <v>-2.5460000000000003</v>
      </c>
      <c r="P43" s="3">
        <v>-2.4289999999999998</v>
      </c>
      <c r="Q43" s="3">
        <v>-2.4449999999999998</v>
      </c>
      <c r="R43" s="3">
        <f t="shared" si="6"/>
        <v>-2.4369999999999998</v>
      </c>
      <c r="S43" s="3">
        <v>-1.2190000000000001</v>
      </c>
      <c r="T43" s="3">
        <v>-2.38</v>
      </c>
      <c r="U43" s="3">
        <f t="shared" si="3"/>
        <v>-1.7995000000000001</v>
      </c>
      <c r="V43" s="3">
        <v>-1.2949999999999999</v>
      </c>
      <c r="W43" s="3">
        <v>-2.484</v>
      </c>
      <c r="X43" s="3">
        <f t="shared" si="4"/>
        <v>-1.8895</v>
      </c>
      <c r="Y43">
        <v>91</v>
      </c>
      <c r="Z43">
        <v>30</v>
      </c>
      <c r="AA43">
        <v>39</v>
      </c>
      <c r="AB43">
        <v>22</v>
      </c>
      <c r="AC43" t="s">
        <v>43</v>
      </c>
      <c r="AD43">
        <v>15</v>
      </c>
      <c r="AE43">
        <v>12</v>
      </c>
      <c r="AF43">
        <v>9</v>
      </c>
      <c r="AG43">
        <v>12</v>
      </c>
      <c r="AH43">
        <v>12</v>
      </c>
      <c r="AI43">
        <v>8</v>
      </c>
      <c r="AJ43">
        <v>0</v>
      </c>
      <c r="AK43">
        <v>14</v>
      </c>
      <c r="AL43">
        <v>9</v>
      </c>
      <c r="AM43">
        <v>99</v>
      </c>
    </row>
    <row r="44" spans="1:39" x14ac:dyDescent="0.2">
      <c r="A44" t="s">
        <v>2</v>
      </c>
      <c r="B44" s="1">
        <v>59</v>
      </c>
      <c r="C44" s="3">
        <v>0.41590375000000002</v>
      </c>
      <c r="D44">
        <v>52</v>
      </c>
      <c r="E44">
        <v>28</v>
      </c>
      <c r="F44" s="8">
        <v>3.25</v>
      </c>
      <c r="G44" s="3">
        <v>1.996</v>
      </c>
      <c r="H44" s="3">
        <v>1.734</v>
      </c>
      <c r="I44">
        <f t="shared" si="0"/>
        <v>1.865</v>
      </c>
      <c r="J44" s="3">
        <v>3.1120000000000001</v>
      </c>
      <c r="K44" s="3">
        <v>2.609</v>
      </c>
      <c r="L44" s="3">
        <f t="shared" si="5"/>
        <v>2.8605</v>
      </c>
      <c r="M44" s="3">
        <v>3.2410000000000001</v>
      </c>
      <c r="N44" s="3">
        <v>1.401</v>
      </c>
      <c r="O44" s="3">
        <f t="shared" si="1"/>
        <v>2.3210000000000002</v>
      </c>
      <c r="P44" s="3">
        <v>5.2880000000000003</v>
      </c>
      <c r="Q44" s="3">
        <v>3.8010000000000002</v>
      </c>
      <c r="R44" s="3">
        <f t="shared" si="6"/>
        <v>4.5445000000000002</v>
      </c>
      <c r="S44" s="3">
        <v>-2.9710000000000001</v>
      </c>
      <c r="T44" s="3">
        <v>-3.2810000000000001</v>
      </c>
      <c r="U44" s="3">
        <f t="shared" si="3"/>
        <v>-3.1260000000000003</v>
      </c>
      <c r="V44" s="3">
        <v>-1.5680000000000001</v>
      </c>
      <c r="W44" s="3">
        <v>-0.94199999999999995</v>
      </c>
      <c r="X44" s="3">
        <f t="shared" si="4"/>
        <v>-1.2549999999999999</v>
      </c>
      <c r="Y44">
        <v>101</v>
      </c>
      <c r="Z44">
        <v>33</v>
      </c>
      <c r="AA44">
        <v>36</v>
      </c>
      <c r="AB44">
        <v>32</v>
      </c>
      <c r="AC44" t="s">
        <v>44</v>
      </c>
      <c r="AD44">
        <v>16</v>
      </c>
      <c r="AE44">
        <v>7</v>
      </c>
      <c r="AF44">
        <v>5</v>
      </c>
      <c r="AG44">
        <v>11</v>
      </c>
      <c r="AH44">
        <v>9</v>
      </c>
      <c r="AI44">
        <v>16</v>
      </c>
      <c r="AJ44">
        <v>9</v>
      </c>
      <c r="AK44">
        <v>16</v>
      </c>
      <c r="AL44">
        <v>12</v>
      </c>
      <c r="AM44">
        <v>80.2</v>
      </c>
    </row>
    <row r="45" spans="1:39" x14ac:dyDescent="0.2">
      <c r="A45" t="s">
        <v>2</v>
      </c>
      <c r="B45" s="1">
        <v>64</v>
      </c>
      <c r="C45" s="3">
        <v>0.383692307692308</v>
      </c>
      <c r="D45">
        <v>54</v>
      </c>
      <c r="E45">
        <v>27</v>
      </c>
      <c r="F45" s="8">
        <v>3.5</v>
      </c>
      <c r="G45" s="3">
        <v>-2.0830000000000002</v>
      </c>
      <c r="H45" s="3">
        <v>-3.0139999999999998</v>
      </c>
      <c r="I45">
        <f t="shared" si="0"/>
        <v>-2.5484999999999998</v>
      </c>
      <c r="J45" s="3">
        <v>-0.86499999999999999</v>
      </c>
      <c r="K45" s="3">
        <v>-2.0409999999999999</v>
      </c>
      <c r="L45" s="3">
        <f t="shared" si="5"/>
        <v>-1.4529999999999998</v>
      </c>
      <c r="M45" s="3">
        <v>-1.887</v>
      </c>
      <c r="N45" s="3">
        <v>-3.09</v>
      </c>
      <c r="O45" s="3">
        <f t="shared" si="1"/>
        <v>-2.4885000000000002</v>
      </c>
      <c r="P45" s="3">
        <v>-0.623</v>
      </c>
      <c r="Q45" s="3">
        <v>-1.7849999999999999</v>
      </c>
      <c r="R45" s="3">
        <f t="shared" si="6"/>
        <v>-1.204</v>
      </c>
      <c r="S45" s="3">
        <v>-4.1509999999999998</v>
      </c>
      <c r="T45" s="3">
        <v>-4.5970000000000004</v>
      </c>
      <c r="U45" s="3">
        <f t="shared" si="3"/>
        <v>-4.3740000000000006</v>
      </c>
      <c r="V45" s="3">
        <v>-3.508</v>
      </c>
      <c r="W45" s="3">
        <v>-3.7349999999999999</v>
      </c>
      <c r="X45" s="3">
        <f t="shared" si="4"/>
        <v>-3.6215000000000002</v>
      </c>
      <c r="Y45">
        <v>87</v>
      </c>
      <c r="Z45">
        <v>42</v>
      </c>
      <c r="AA45">
        <v>27</v>
      </c>
      <c r="AB45">
        <v>18</v>
      </c>
      <c r="AC45" t="s">
        <v>42</v>
      </c>
      <c r="AD45">
        <v>13</v>
      </c>
      <c r="AE45">
        <v>10</v>
      </c>
      <c r="AF45">
        <v>9</v>
      </c>
      <c r="AG45">
        <v>5</v>
      </c>
      <c r="AH45">
        <v>9</v>
      </c>
      <c r="AI45">
        <v>8</v>
      </c>
      <c r="AJ45">
        <v>10</v>
      </c>
      <c r="AK45">
        <v>10</v>
      </c>
      <c r="AL45">
        <v>13</v>
      </c>
      <c r="AM45">
        <v>90.1</v>
      </c>
    </row>
    <row r="46" spans="1:39" x14ac:dyDescent="0.2">
      <c r="A46" t="s">
        <v>2</v>
      </c>
      <c r="B46" s="1">
        <v>68</v>
      </c>
      <c r="C46" s="3">
        <v>0.39513458333333301</v>
      </c>
      <c r="D46">
        <v>55</v>
      </c>
      <c r="E46">
        <v>13</v>
      </c>
      <c r="F46" s="8">
        <v>2.5</v>
      </c>
      <c r="G46" s="3">
        <v>-5.5259999999999998</v>
      </c>
      <c r="H46" s="3">
        <v>-5.82</v>
      </c>
      <c r="I46">
        <f t="shared" si="0"/>
        <v>-5.673</v>
      </c>
      <c r="J46" s="3">
        <v>-5.45</v>
      </c>
      <c r="K46" s="3">
        <v>-5.7969999999999997</v>
      </c>
      <c r="L46" s="3">
        <f t="shared" si="5"/>
        <v>-5.6234999999999999</v>
      </c>
      <c r="M46" s="3">
        <v>-7.6150000000000002</v>
      </c>
      <c r="N46" s="3">
        <v>-6.5730000000000004</v>
      </c>
      <c r="O46" s="3">
        <f t="shared" si="1"/>
        <v>-7.0940000000000003</v>
      </c>
      <c r="P46" s="3">
        <v>-6.1459999999999999</v>
      </c>
      <c r="Q46" s="3">
        <v>-5.7279999999999998</v>
      </c>
      <c r="R46" s="3">
        <f t="shared" si="6"/>
        <v>-5.9369999999999994</v>
      </c>
      <c r="S46" s="3">
        <v>-1.3149999999999999</v>
      </c>
      <c r="T46" s="3">
        <v>-0.216</v>
      </c>
      <c r="U46" s="3">
        <f t="shared" si="3"/>
        <v>-0.76549999999999996</v>
      </c>
      <c r="V46" s="3">
        <v>0.60899999999999999</v>
      </c>
      <c r="W46" s="3">
        <v>0.90900000000000003</v>
      </c>
      <c r="X46" s="3">
        <f t="shared" si="4"/>
        <v>0.75900000000000001</v>
      </c>
      <c r="Y46">
        <v>89</v>
      </c>
      <c r="Z46">
        <v>32</v>
      </c>
      <c r="AA46">
        <v>33</v>
      </c>
      <c r="AB46">
        <v>24</v>
      </c>
      <c r="AC46" t="s">
        <v>44</v>
      </c>
      <c r="AD46">
        <v>16</v>
      </c>
      <c r="AE46">
        <v>8</v>
      </c>
      <c r="AF46">
        <v>6</v>
      </c>
      <c r="AG46">
        <v>7</v>
      </c>
      <c r="AH46">
        <v>10</v>
      </c>
      <c r="AI46">
        <v>11</v>
      </c>
      <c r="AJ46">
        <v>7</v>
      </c>
      <c r="AK46">
        <v>13</v>
      </c>
      <c r="AL46">
        <v>11</v>
      </c>
      <c r="AM46">
        <v>98.9</v>
      </c>
    </row>
    <row r="47" spans="1:39" x14ac:dyDescent="0.2">
      <c r="A47" t="s">
        <v>2</v>
      </c>
      <c r="B47" s="1">
        <v>76</v>
      </c>
      <c r="C47" s="3">
        <v>0.3533288</v>
      </c>
      <c r="D47">
        <v>51</v>
      </c>
      <c r="E47">
        <v>22</v>
      </c>
      <c r="F47" s="8">
        <v>3.8</v>
      </c>
      <c r="G47" s="3">
        <v>-1.296</v>
      </c>
      <c r="H47" s="3">
        <v>-1.7609999999999999</v>
      </c>
      <c r="I47">
        <f t="shared" si="0"/>
        <v>-1.5285</v>
      </c>
      <c r="J47" s="3">
        <v>-0.85499999999999998</v>
      </c>
      <c r="K47" s="3">
        <v>-1.0720000000000001</v>
      </c>
      <c r="L47" s="3">
        <f t="shared" si="5"/>
        <v>-0.96350000000000002</v>
      </c>
      <c r="M47" s="3">
        <v>1.1890000000000001</v>
      </c>
      <c r="N47" s="3">
        <v>-0.52900000000000003</v>
      </c>
      <c r="O47" s="3">
        <f>AVERAGE(M47,N47)</f>
        <v>0.33</v>
      </c>
      <c r="P47" s="3">
        <v>0.78500000000000003</v>
      </c>
      <c r="Q47" s="3">
        <v>-0.33600000000000002</v>
      </c>
      <c r="R47" s="3">
        <f t="shared" si="6"/>
        <v>0.22450000000000001</v>
      </c>
      <c r="S47" s="3">
        <v>0.48</v>
      </c>
      <c r="T47" s="3">
        <v>0.66800000000000004</v>
      </c>
      <c r="U47" s="3">
        <f t="shared" si="3"/>
        <v>0.57400000000000007</v>
      </c>
      <c r="V47" s="3">
        <v>-0.77200000000000002</v>
      </c>
      <c r="W47" s="3">
        <v>-8.1000000000000003E-2</v>
      </c>
      <c r="X47" s="3">
        <f t="shared" si="4"/>
        <v>-0.42649999999999999</v>
      </c>
      <c r="Y47">
        <v>88</v>
      </c>
      <c r="Z47">
        <v>29</v>
      </c>
      <c r="AA47">
        <v>36</v>
      </c>
      <c r="AB47">
        <v>23</v>
      </c>
      <c r="AC47" t="s">
        <v>44</v>
      </c>
      <c r="AD47">
        <v>16</v>
      </c>
      <c r="AE47">
        <v>8</v>
      </c>
      <c r="AF47">
        <v>8</v>
      </c>
      <c r="AG47">
        <v>12</v>
      </c>
      <c r="AH47">
        <v>8</v>
      </c>
      <c r="AI47">
        <v>10</v>
      </c>
      <c r="AJ47">
        <v>10</v>
      </c>
      <c r="AK47">
        <v>13</v>
      </c>
      <c r="AL47">
        <v>3</v>
      </c>
      <c r="AM47">
        <v>97.8</v>
      </c>
    </row>
    <row r="48" spans="1:39" x14ac:dyDescent="0.2">
      <c r="A48" t="s">
        <v>2</v>
      </c>
      <c r="B48" s="1">
        <v>79</v>
      </c>
      <c r="C48" s="3">
        <v>0.39081500000000002</v>
      </c>
      <c r="D48">
        <v>51</v>
      </c>
      <c r="E48">
        <v>22</v>
      </c>
      <c r="F48" s="8">
        <v>4</v>
      </c>
      <c r="G48" s="3">
        <v>-1.486</v>
      </c>
      <c r="H48" s="3">
        <v>-1.25</v>
      </c>
      <c r="I48">
        <f>AVERAGE(G48,H48)</f>
        <v>-1.3679999999999999</v>
      </c>
      <c r="J48" s="3">
        <v>-1.1739999999999999</v>
      </c>
      <c r="K48" s="3">
        <v>-1.363</v>
      </c>
      <c r="L48" s="3">
        <f t="shared" si="5"/>
        <v>-1.2685</v>
      </c>
      <c r="M48" s="3">
        <v>-2.968</v>
      </c>
      <c r="N48" s="3">
        <v>-1.96</v>
      </c>
      <c r="O48" s="3">
        <f t="shared" si="1"/>
        <v>-2.464</v>
      </c>
      <c r="P48" s="3">
        <v>-0.65</v>
      </c>
      <c r="Q48" s="3">
        <v>-0.436</v>
      </c>
      <c r="R48" s="3">
        <f t="shared" si="6"/>
        <v>-0.54300000000000004</v>
      </c>
      <c r="S48" s="3">
        <v>-4.6719999999999997</v>
      </c>
      <c r="T48" s="3">
        <v>-3.4569999999999999</v>
      </c>
      <c r="U48" s="3">
        <f t="shared" si="3"/>
        <v>-4.0644999999999998</v>
      </c>
      <c r="V48" s="3">
        <v>-1.766</v>
      </c>
      <c r="W48" s="3">
        <v>-1.0609999999999999</v>
      </c>
      <c r="X48" s="3">
        <f t="shared" si="4"/>
        <v>-1.4135</v>
      </c>
      <c r="Y48">
        <v>85</v>
      </c>
      <c r="Z48">
        <v>36</v>
      </c>
      <c r="AA48">
        <v>26</v>
      </c>
      <c r="AB48">
        <v>23</v>
      </c>
      <c r="AC48" t="s">
        <v>44</v>
      </c>
      <c r="AD48">
        <v>11</v>
      </c>
      <c r="AE48">
        <v>9</v>
      </c>
      <c r="AF48">
        <v>9</v>
      </c>
      <c r="AG48">
        <v>8</v>
      </c>
      <c r="AH48">
        <v>7</v>
      </c>
      <c r="AI48">
        <v>11</v>
      </c>
      <c r="AJ48">
        <v>10</v>
      </c>
      <c r="AK48">
        <v>12</v>
      </c>
      <c r="AL48">
        <v>8</v>
      </c>
      <c r="AM48">
        <v>84.8</v>
      </c>
    </row>
    <row r="49" spans="1:39" x14ac:dyDescent="0.2">
      <c r="A49" t="s">
        <v>2</v>
      </c>
      <c r="B49" s="1">
        <v>89</v>
      </c>
      <c r="C49" s="3">
        <v>0.38865291666666701</v>
      </c>
      <c r="D49">
        <v>43</v>
      </c>
      <c r="E49">
        <v>32</v>
      </c>
      <c r="F49" s="8">
        <v>3.3</v>
      </c>
      <c r="G49" s="3">
        <v>-1.2E-2</v>
      </c>
      <c r="H49" s="3">
        <v>-0.247</v>
      </c>
      <c r="I49">
        <f t="shared" si="0"/>
        <v>-0.1295</v>
      </c>
      <c r="J49" s="3">
        <v>-1.4970000000000001</v>
      </c>
      <c r="K49" s="3">
        <v>-1.73</v>
      </c>
      <c r="L49" s="3">
        <f t="shared" si="5"/>
        <v>-1.6135000000000002</v>
      </c>
      <c r="M49" s="3">
        <v>-3.113</v>
      </c>
      <c r="N49" s="3">
        <v>-3.282</v>
      </c>
      <c r="O49" s="3">
        <f t="shared" si="1"/>
        <v>-3.1974999999999998</v>
      </c>
      <c r="P49" s="3">
        <v>-3.1890000000000001</v>
      </c>
      <c r="Q49" s="3">
        <v>-3.4430000000000001</v>
      </c>
      <c r="R49" s="3">
        <f t="shared" si="6"/>
        <v>-3.3159999999999998</v>
      </c>
      <c r="S49" s="3">
        <v>-2.8460000000000001</v>
      </c>
      <c r="T49" s="3">
        <v>-2.2519999999999998</v>
      </c>
      <c r="U49" s="3">
        <f t="shared" si="3"/>
        <v>-2.5489999999999999</v>
      </c>
      <c r="V49" s="3">
        <v>-1.1599999999999999</v>
      </c>
      <c r="W49" s="3">
        <v>-0.89700000000000002</v>
      </c>
      <c r="X49" s="3">
        <f t="shared" si="4"/>
        <v>-1.0285</v>
      </c>
      <c r="Y49">
        <v>96</v>
      </c>
      <c r="Z49">
        <v>44</v>
      </c>
      <c r="AA49">
        <v>28</v>
      </c>
      <c r="AB49">
        <v>24</v>
      </c>
      <c r="AC49" t="s">
        <v>44</v>
      </c>
      <c r="AD49">
        <v>4</v>
      </c>
      <c r="AE49">
        <v>9</v>
      </c>
      <c r="AF49">
        <v>11</v>
      </c>
      <c r="AG49">
        <v>12</v>
      </c>
      <c r="AH49">
        <v>12</v>
      </c>
      <c r="AI49">
        <v>16</v>
      </c>
      <c r="AJ49">
        <v>16</v>
      </c>
      <c r="AK49">
        <v>8</v>
      </c>
      <c r="AL49">
        <v>8</v>
      </c>
      <c r="AM49">
        <v>75.900000000000006</v>
      </c>
    </row>
    <row r="50" spans="1:39" x14ac:dyDescent="0.2">
      <c r="A50" t="s">
        <v>2</v>
      </c>
      <c r="B50" s="1">
        <v>90</v>
      </c>
      <c r="C50" s="3">
        <v>0.35237615384615401</v>
      </c>
      <c r="D50">
        <v>57</v>
      </c>
      <c r="E50">
        <v>28</v>
      </c>
      <c r="F50" s="8">
        <v>4</v>
      </c>
      <c r="G50" s="3">
        <v>1.804</v>
      </c>
      <c r="H50" s="3">
        <v>1.173</v>
      </c>
      <c r="I50">
        <f t="shared" si="0"/>
        <v>1.4885000000000002</v>
      </c>
      <c r="J50" s="3">
        <v>2.0150000000000001</v>
      </c>
      <c r="K50" s="3">
        <v>1.159</v>
      </c>
      <c r="L50" s="3">
        <f t="shared" si="5"/>
        <v>1.5870000000000002</v>
      </c>
      <c r="M50" s="3">
        <v>2.988</v>
      </c>
      <c r="N50" s="3">
        <v>2.7890000000000001</v>
      </c>
      <c r="O50" s="3">
        <f t="shared" si="1"/>
        <v>2.8885000000000001</v>
      </c>
      <c r="P50" s="3">
        <v>1.708</v>
      </c>
      <c r="Q50" s="3">
        <v>1.19</v>
      </c>
      <c r="R50" s="3">
        <f t="shared" si="6"/>
        <v>1.4489999999999998</v>
      </c>
      <c r="S50" s="3">
        <v>1.746</v>
      </c>
      <c r="T50" s="3">
        <v>2.2210000000000001</v>
      </c>
      <c r="U50" s="3">
        <f t="shared" si="3"/>
        <v>1.9835</v>
      </c>
      <c r="V50" s="3">
        <v>-0.44800000000000001</v>
      </c>
      <c r="W50" s="3">
        <v>6.4000000000000001E-2</v>
      </c>
      <c r="X50" s="3">
        <f t="shared" si="4"/>
        <v>-0.192</v>
      </c>
      <c r="Y50">
        <v>87</v>
      </c>
      <c r="Z50">
        <v>35</v>
      </c>
      <c r="AA50">
        <v>28</v>
      </c>
      <c r="AB50">
        <v>24</v>
      </c>
      <c r="AC50" t="s">
        <v>44</v>
      </c>
      <c r="AD50">
        <v>14</v>
      </c>
      <c r="AE50">
        <v>10</v>
      </c>
      <c r="AF50">
        <v>6</v>
      </c>
      <c r="AG50">
        <v>7</v>
      </c>
      <c r="AH50">
        <v>7</v>
      </c>
      <c r="AI50">
        <v>11</v>
      </c>
      <c r="AJ50">
        <v>8</v>
      </c>
      <c r="AK50">
        <v>13</v>
      </c>
      <c r="AL50">
        <v>11</v>
      </c>
      <c r="AM50">
        <v>94.9</v>
      </c>
    </row>
    <row r="51" spans="1:39" x14ac:dyDescent="0.2">
      <c r="A51" t="s">
        <v>2</v>
      </c>
      <c r="B51" s="1">
        <v>91</v>
      </c>
      <c r="C51" s="3">
        <v>0.35638954545454499</v>
      </c>
      <c r="D51">
        <v>47</v>
      </c>
      <c r="E51">
        <v>20</v>
      </c>
      <c r="F51" s="8">
        <v>3</v>
      </c>
      <c r="G51" s="3">
        <v>-8.1530000000000005</v>
      </c>
      <c r="H51" s="3">
        <v>-6.6130000000000004</v>
      </c>
      <c r="I51">
        <f t="shared" si="0"/>
        <v>-7.3830000000000009</v>
      </c>
      <c r="J51" s="3">
        <v>-4.7370000000000001</v>
      </c>
      <c r="K51" s="3">
        <v>-4.1589999999999998</v>
      </c>
      <c r="L51" s="3">
        <f t="shared" si="5"/>
        <v>-4.4480000000000004</v>
      </c>
      <c r="M51" s="3">
        <v>-9.484</v>
      </c>
      <c r="N51" s="3">
        <v>-7.282</v>
      </c>
      <c r="O51" s="3">
        <f t="shared" si="1"/>
        <v>-8.3829999999999991</v>
      </c>
      <c r="P51" s="3">
        <v>-4.3540000000000001</v>
      </c>
      <c r="Q51" s="3">
        <v>-4.343</v>
      </c>
      <c r="R51" s="3">
        <f t="shared" si="6"/>
        <v>-4.3484999999999996</v>
      </c>
      <c r="S51" s="3">
        <v>-5.399</v>
      </c>
      <c r="T51" s="3">
        <v>-2.3260000000000001</v>
      </c>
      <c r="U51" s="3">
        <f t="shared" si="3"/>
        <v>-3.8624999999999998</v>
      </c>
      <c r="V51" s="3">
        <v>-3.3069999999999999</v>
      </c>
      <c r="W51" s="3">
        <v>-1.982</v>
      </c>
      <c r="X51" s="3">
        <f t="shared" si="4"/>
        <v>-2.6444999999999999</v>
      </c>
      <c r="Y51">
        <v>92</v>
      </c>
      <c r="Z51">
        <v>49</v>
      </c>
      <c r="AA51">
        <v>18</v>
      </c>
      <c r="AB51">
        <v>25</v>
      </c>
      <c r="AC51" t="s">
        <v>44</v>
      </c>
      <c r="AD51">
        <v>8</v>
      </c>
      <c r="AE51">
        <v>12</v>
      </c>
      <c r="AF51">
        <v>10</v>
      </c>
      <c r="AG51">
        <v>5</v>
      </c>
      <c r="AH51">
        <v>5</v>
      </c>
      <c r="AI51">
        <v>9</v>
      </c>
      <c r="AJ51">
        <v>12</v>
      </c>
      <c r="AK51">
        <v>16</v>
      </c>
      <c r="AL51">
        <v>15</v>
      </c>
      <c r="AM51">
        <v>87.2</v>
      </c>
    </row>
    <row r="52" spans="1:39" x14ac:dyDescent="0.2">
      <c r="A52" t="s">
        <v>2</v>
      </c>
      <c r="B52" s="1">
        <v>93</v>
      </c>
      <c r="C52" s="3">
        <v>0.37769000000000003</v>
      </c>
      <c r="D52">
        <v>48</v>
      </c>
      <c r="E52">
        <v>17</v>
      </c>
      <c r="F52" s="8">
        <v>3.2</v>
      </c>
      <c r="G52" s="3">
        <v>-1.0860000000000001</v>
      </c>
      <c r="H52" s="3">
        <v>-0.80400000000000005</v>
      </c>
      <c r="I52">
        <f t="shared" si="0"/>
        <v>-0.94500000000000006</v>
      </c>
      <c r="J52" s="3">
        <v>-0.73799999999999999</v>
      </c>
      <c r="K52" s="3">
        <v>-0.69399999999999995</v>
      </c>
      <c r="L52" s="3">
        <f t="shared" si="5"/>
        <v>-0.71599999999999997</v>
      </c>
      <c r="M52" s="3">
        <v>-3.2130000000000001</v>
      </c>
      <c r="N52" s="3">
        <v>-2.7330000000000001</v>
      </c>
      <c r="O52" s="3">
        <f t="shared" si="1"/>
        <v>-2.9729999999999999</v>
      </c>
      <c r="P52" s="3">
        <v>-1.081</v>
      </c>
      <c r="Q52" s="3">
        <v>-0.74199999999999999</v>
      </c>
      <c r="R52" s="3">
        <f>AVERAGE(P52,Q52)</f>
        <v>-0.91149999999999998</v>
      </c>
      <c r="S52" s="3">
        <v>-4.2489999999999997</v>
      </c>
      <c r="T52" s="3">
        <v>-4.01</v>
      </c>
      <c r="U52" s="3">
        <f t="shared" si="3"/>
        <v>-4.1295000000000002</v>
      </c>
      <c r="V52" s="3">
        <v>-1.915</v>
      </c>
      <c r="W52" s="3">
        <v>-1.6739999999999999</v>
      </c>
      <c r="X52" s="3">
        <f t="shared" si="4"/>
        <v>-1.7945</v>
      </c>
      <c r="Y52">
        <v>91</v>
      </c>
      <c r="Z52">
        <v>31</v>
      </c>
      <c r="AA52">
        <v>34</v>
      </c>
      <c r="AB52">
        <v>26</v>
      </c>
      <c r="AC52" t="s">
        <v>44</v>
      </c>
      <c r="AD52">
        <v>14</v>
      </c>
      <c r="AE52">
        <v>9</v>
      </c>
      <c r="AF52">
        <v>6</v>
      </c>
      <c r="AG52">
        <v>10</v>
      </c>
      <c r="AH52">
        <v>10</v>
      </c>
      <c r="AI52">
        <v>14</v>
      </c>
      <c r="AJ52">
        <v>2</v>
      </c>
      <c r="AK52">
        <v>12</v>
      </c>
      <c r="AL52">
        <v>14</v>
      </c>
      <c r="AM52">
        <v>89.6</v>
      </c>
    </row>
    <row r="53" spans="1:39" x14ac:dyDescent="0.2">
      <c r="A53" t="s">
        <v>2</v>
      </c>
      <c r="B53" s="1">
        <v>95</v>
      </c>
      <c r="C53" s="3">
        <v>0.40990399999999999</v>
      </c>
      <c r="D53" s="7">
        <v>53</v>
      </c>
      <c r="E53" s="7">
        <v>24</v>
      </c>
      <c r="F53" s="8">
        <v>3.9</v>
      </c>
      <c r="G53" s="3">
        <v>-0.80400000000000005</v>
      </c>
      <c r="H53" s="3">
        <v>-0.82299999999999995</v>
      </c>
      <c r="I53">
        <f t="shared" si="0"/>
        <v>-0.8135</v>
      </c>
      <c r="J53" s="3">
        <v>-0.47399999999999998</v>
      </c>
      <c r="K53" s="3">
        <v>-0.36</v>
      </c>
      <c r="L53" s="3">
        <f t="shared" si="5"/>
        <v>-0.41699999999999998</v>
      </c>
      <c r="M53" s="3">
        <v>-2.9980000000000002</v>
      </c>
      <c r="N53" s="3">
        <v>-2.8660000000000001</v>
      </c>
      <c r="O53" s="3">
        <f t="shared" si="1"/>
        <v>-2.9320000000000004</v>
      </c>
      <c r="P53" s="3">
        <v>-1.508</v>
      </c>
      <c r="Q53" s="3">
        <v>-1.296</v>
      </c>
      <c r="R53" s="3">
        <f>AVERAGE(P53,Q53)</f>
        <v>-1.4020000000000001</v>
      </c>
      <c r="S53" s="3">
        <v>-3.1960000000000002</v>
      </c>
      <c r="T53" s="3">
        <v>-1.849</v>
      </c>
      <c r="U53" s="3">
        <f t="shared" si="3"/>
        <v>-2.5225</v>
      </c>
      <c r="V53" s="3">
        <v>-1.569</v>
      </c>
      <c r="W53" s="3">
        <v>-0.36899999999999999</v>
      </c>
      <c r="X53" s="3">
        <f t="shared" si="4"/>
        <v>-0.96899999999999997</v>
      </c>
      <c r="Y53">
        <v>91</v>
      </c>
      <c r="Z53">
        <v>35</v>
      </c>
      <c r="AA53">
        <v>33</v>
      </c>
      <c r="AB53">
        <v>23</v>
      </c>
      <c r="AC53" t="s">
        <v>44</v>
      </c>
      <c r="AD53">
        <v>12</v>
      </c>
      <c r="AE53">
        <v>9</v>
      </c>
      <c r="AF53">
        <v>8</v>
      </c>
      <c r="AG53">
        <v>12</v>
      </c>
      <c r="AH53">
        <v>9</v>
      </c>
      <c r="AI53">
        <v>11</v>
      </c>
      <c r="AJ53">
        <v>4</v>
      </c>
      <c r="AK53">
        <v>12</v>
      </c>
      <c r="AL53">
        <v>14</v>
      </c>
      <c r="AM53">
        <v>93.7</v>
      </c>
    </row>
    <row r="54" spans="1:39" x14ac:dyDescent="0.2">
      <c r="A54" t="s">
        <v>2</v>
      </c>
      <c r="B54" s="1">
        <v>94</v>
      </c>
      <c r="C54" s="3">
        <v>0.34348769230769199</v>
      </c>
      <c r="D54">
        <v>47</v>
      </c>
      <c r="E54">
        <v>23</v>
      </c>
      <c r="F54" s="8">
        <v>3.87</v>
      </c>
      <c r="G54" s="3">
        <v>-6.3849999999999998</v>
      </c>
      <c r="H54" s="3">
        <v>-5.7050000000000001</v>
      </c>
      <c r="I54">
        <f t="shared" si="0"/>
        <v>-6.0449999999999999</v>
      </c>
      <c r="J54" s="3">
        <v>-4.8319999999999999</v>
      </c>
      <c r="K54" s="3">
        <v>-4.5190000000000001</v>
      </c>
      <c r="L54" s="3">
        <f t="shared" si="5"/>
        <v>-4.6754999999999995</v>
      </c>
      <c r="M54" s="3">
        <v>-9.8460000000000001</v>
      </c>
      <c r="N54" s="3">
        <v>-8.0969999999999995</v>
      </c>
      <c r="O54" s="3">
        <f t="shared" si="1"/>
        <v>-8.9714999999999989</v>
      </c>
      <c r="P54" s="3">
        <v>-7.1790000000000003</v>
      </c>
      <c r="Q54" s="3">
        <v>-6.306</v>
      </c>
      <c r="R54" s="3">
        <f t="shared" ref="R54:R57" si="7">AVERAGE(P54,Q54)</f>
        <v>-6.7424999999999997</v>
      </c>
      <c r="S54" s="3">
        <v>-4.5380000000000003</v>
      </c>
      <c r="T54" s="3">
        <v>-3.7029999999999998</v>
      </c>
      <c r="U54" s="3">
        <f t="shared" si="3"/>
        <v>-4.1204999999999998</v>
      </c>
      <c r="V54" s="3">
        <v>-3.2639999999999998</v>
      </c>
      <c r="W54" s="3">
        <v>-2.883</v>
      </c>
      <c r="X54" s="3">
        <f t="shared" si="4"/>
        <v>-3.0735000000000001</v>
      </c>
      <c r="Y54">
        <v>86</v>
      </c>
      <c r="Z54">
        <v>37</v>
      </c>
      <c r="AA54">
        <v>27</v>
      </c>
      <c r="AB54">
        <v>22</v>
      </c>
      <c r="AC54" t="s">
        <v>43</v>
      </c>
      <c r="AD54">
        <v>15</v>
      </c>
      <c r="AE54">
        <v>6</v>
      </c>
      <c r="AF54">
        <v>2</v>
      </c>
      <c r="AG54">
        <v>7</v>
      </c>
      <c r="AH54">
        <v>5</v>
      </c>
      <c r="AI54">
        <v>15</v>
      </c>
      <c r="AJ54">
        <v>15</v>
      </c>
      <c r="AK54">
        <v>7</v>
      </c>
      <c r="AL54">
        <v>14</v>
      </c>
      <c r="AM54">
        <v>97.8</v>
      </c>
    </row>
    <row r="55" spans="1:39" x14ac:dyDescent="0.2">
      <c r="A55" t="s">
        <v>2</v>
      </c>
      <c r="B55" s="1">
        <v>96</v>
      </c>
      <c r="C55" s="3">
        <v>0.413332857142857</v>
      </c>
      <c r="D55">
        <v>45</v>
      </c>
      <c r="E55">
        <v>21</v>
      </c>
      <c r="F55" s="8">
        <v>3</v>
      </c>
      <c r="G55" s="3">
        <v>-0.92500000000000004</v>
      </c>
      <c r="H55" s="3">
        <v>-0.96099999999999997</v>
      </c>
      <c r="I55">
        <f t="shared" si="0"/>
        <v>-0.94300000000000006</v>
      </c>
      <c r="J55" s="3">
        <v>-2.0059999999999998</v>
      </c>
      <c r="K55" s="3">
        <v>-1.909</v>
      </c>
      <c r="L55" s="3">
        <f t="shared" si="5"/>
        <v>-1.9575</v>
      </c>
      <c r="M55" s="3">
        <v>-0.91500000000000004</v>
      </c>
      <c r="N55" s="3">
        <v>-0.72599999999999998</v>
      </c>
      <c r="O55" s="3">
        <f t="shared" si="1"/>
        <v>-0.82050000000000001</v>
      </c>
      <c r="P55" s="3">
        <v>-0.95599999999999996</v>
      </c>
      <c r="Q55" s="3">
        <v>-1.6559999999999999</v>
      </c>
      <c r="R55" s="3">
        <f t="shared" si="7"/>
        <v>-1.306</v>
      </c>
      <c r="S55" s="3">
        <v>-1.0649999999999999</v>
      </c>
      <c r="T55" s="3">
        <v>0.81799999999999995</v>
      </c>
      <c r="U55" s="3">
        <f t="shared" si="3"/>
        <v>-0.1235</v>
      </c>
      <c r="V55" s="3">
        <v>0.68899999999999995</v>
      </c>
      <c r="W55" s="3">
        <v>1.1839999999999999</v>
      </c>
      <c r="X55" s="3">
        <f>AVERAGE(V55,W55)</f>
        <v>0.93649999999999989</v>
      </c>
      <c r="Y55">
        <v>92</v>
      </c>
      <c r="Z55">
        <v>40</v>
      </c>
      <c r="AA55">
        <v>29</v>
      </c>
      <c r="AB55">
        <v>23</v>
      </c>
      <c r="AC55" t="s">
        <v>44</v>
      </c>
      <c r="AD55">
        <v>12</v>
      </c>
      <c r="AE55">
        <v>9</v>
      </c>
      <c r="AF55">
        <v>9</v>
      </c>
      <c r="AG55">
        <v>9</v>
      </c>
      <c r="AH55">
        <v>8</v>
      </c>
      <c r="AI55">
        <v>12</v>
      </c>
      <c r="AJ55">
        <v>11</v>
      </c>
      <c r="AK55">
        <v>11</v>
      </c>
      <c r="AL55">
        <v>11</v>
      </c>
      <c r="AM55">
        <v>94.4</v>
      </c>
    </row>
    <row r="56" spans="1:39" x14ac:dyDescent="0.2">
      <c r="A56" t="s">
        <v>2</v>
      </c>
      <c r="B56" s="1">
        <v>98</v>
      </c>
      <c r="C56" s="3">
        <v>0.38482846153846201</v>
      </c>
      <c r="D56">
        <v>57</v>
      </c>
      <c r="E56">
        <v>33</v>
      </c>
      <c r="F56" s="8">
        <v>3.9</v>
      </c>
      <c r="G56" s="3">
        <v>-1.831</v>
      </c>
      <c r="H56" s="3">
        <v>-1.57</v>
      </c>
      <c r="I56">
        <f t="shared" si="0"/>
        <v>-1.7004999999999999</v>
      </c>
      <c r="J56" s="3">
        <v>-0.108</v>
      </c>
      <c r="K56" s="3">
        <v>-0.80800000000000005</v>
      </c>
      <c r="L56" s="3">
        <f t="shared" si="5"/>
        <v>-0.45800000000000002</v>
      </c>
      <c r="M56" s="3">
        <v>-0.871</v>
      </c>
      <c r="N56" s="3">
        <v>-1.554</v>
      </c>
      <c r="O56" s="3">
        <f t="shared" si="1"/>
        <v>-1.2124999999999999</v>
      </c>
      <c r="P56" s="3">
        <v>0.157</v>
      </c>
      <c r="Q56" s="3">
        <v>-0.89100000000000001</v>
      </c>
      <c r="R56" s="3">
        <f t="shared" si="7"/>
        <v>-0.36699999999999999</v>
      </c>
      <c r="S56" s="3">
        <v>-1.0249999999999999</v>
      </c>
      <c r="T56" s="3">
        <v>-1.407</v>
      </c>
      <c r="U56" s="3">
        <f t="shared" si="3"/>
        <v>-1.216</v>
      </c>
      <c r="V56" s="3">
        <v>-1.784</v>
      </c>
      <c r="W56" s="3">
        <v>-1.331</v>
      </c>
      <c r="X56" s="3">
        <f t="shared" si="4"/>
        <v>-1.5575000000000001</v>
      </c>
      <c r="Y56">
        <v>85</v>
      </c>
      <c r="Z56">
        <v>36</v>
      </c>
      <c r="AA56">
        <v>20</v>
      </c>
      <c r="AB56">
        <v>29</v>
      </c>
      <c r="AC56" t="s">
        <v>44</v>
      </c>
      <c r="AD56">
        <v>15</v>
      </c>
      <c r="AE56">
        <v>10</v>
      </c>
      <c r="AF56">
        <v>10</v>
      </c>
      <c r="AG56">
        <v>1</v>
      </c>
      <c r="AH56">
        <v>4</v>
      </c>
      <c r="AI56">
        <v>14</v>
      </c>
      <c r="AJ56">
        <v>6</v>
      </c>
      <c r="AK56">
        <v>15</v>
      </c>
      <c r="AL56">
        <v>10</v>
      </c>
      <c r="AM56">
        <v>81.8</v>
      </c>
    </row>
    <row r="57" spans="1:39" x14ac:dyDescent="0.2">
      <c r="A57" t="s">
        <v>2</v>
      </c>
      <c r="B57" s="1">
        <v>99</v>
      </c>
      <c r="C57" s="3">
        <v>0.38020749999999998</v>
      </c>
      <c r="D57">
        <v>54</v>
      </c>
      <c r="E57">
        <v>41</v>
      </c>
      <c r="F57" s="8">
        <v>4</v>
      </c>
      <c r="G57" s="3">
        <v>-0.50700000000000001</v>
      </c>
      <c r="H57" s="3">
        <v>-0.14199999999999999</v>
      </c>
      <c r="I57">
        <f t="shared" si="0"/>
        <v>-0.32450000000000001</v>
      </c>
      <c r="J57" s="3">
        <v>-1.054</v>
      </c>
      <c r="K57" s="3">
        <v>-1.4810000000000001</v>
      </c>
      <c r="L57" s="3">
        <f t="shared" si="5"/>
        <v>-1.2675000000000001</v>
      </c>
      <c r="M57" s="3">
        <v>-0.184</v>
      </c>
      <c r="N57" s="3">
        <v>-0.26500000000000001</v>
      </c>
      <c r="O57" s="3">
        <f t="shared" si="1"/>
        <v>-0.22450000000000001</v>
      </c>
      <c r="P57" s="3">
        <v>5.2999999999999999E-2</v>
      </c>
      <c r="Q57" s="3">
        <v>-0.57499999999999996</v>
      </c>
      <c r="R57" s="3">
        <f t="shared" si="7"/>
        <v>-0.26099999999999995</v>
      </c>
      <c r="S57" s="3">
        <v>3.3000000000000002E-2</v>
      </c>
      <c r="T57" s="3">
        <v>-1.028</v>
      </c>
      <c r="U57" s="3">
        <f t="shared" si="3"/>
        <v>-0.4975</v>
      </c>
      <c r="V57" s="3">
        <v>0.84899999999999998</v>
      </c>
      <c r="W57" s="3">
        <v>0.14899999999999999</v>
      </c>
      <c r="X57" s="3">
        <f>AVERAGE(V57,W57)</f>
        <v>0.499</v>
      </c>
      <c r="Y57">
        <v>89</v>
      </c>
      <c r="Z57">
        <v>32</v>
      </c>
      <c r="AA57">
        <v>35</v>
      </c>
      <c r="AB57">
        <v>22</v>
      </c>
      <c r="AC57" t="s">
        <v>43</v>
      </c>
      <c r="AD57">
        <v>16</v>
      </c>
      <c r="AE57">
        <v>6</v>
      </c>
      <c r="AF57">
        <v>9</v>
      </c>
      <c r="AG57">
        <v>12</v>
      </c>
      <c r="AH57">
        <v>7</v>
      </c>
      <c r="AI57">
        <v>7</v>
      </c>
      <c r="AJ57">
        <v>7</v>
      </c>
      <c r="AK57">
        <v>15</v>
      </c>
      <c r="AL57">
        <v>10</v>
      </c>
      <c r="AM57">
        <v>90.7</v>
      </c>
    </row>
    <row r="58" spans="1:39" x14ac:dyDescent="0.2">
      <c r="F58" s="8"/>
    </row>
  </sheetData>
  <autoFilter ref="AB1:AB58" xr:uid="{8E672AD3-77A5-AF4C-988D-FBEE73C372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Torrens</dc:creator>
  <cp:lastModifiedBy>Wendy Torrens</cp:lastModifiedBy>
  <dcterms:created xsi:type="dcterms:W3CDTF">2024-11-15T04:51:51Z</dcterms:created>
  <dcterms:modified xsi:type="dcterms:W3CDTF">2025-04-09T04:50:20Z</dcterms:modified>
</cp:coreProperties>
</file>